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son.debacker/repos/RedesigningAging/Results/"/>
    </mc:Choice>
  </mc:AlternateContent>
  <xr:revisionPtr revIDLastSave="0" documentId="13_ncr:1_{317CDD2D-1DEC-2341-8AD5-86E5D76CF467}" xr6:coauthVersionLast="47" xr6:coauthVersionMax="47" xr10:uidLastSave="{00000000-0000-0000-0000-000000000000}"/>
  <bookViews>
    <workbookView xWindow="46660" yWindow="500" windowWidth="29800" windowHeight="28240" activeTab="5" xr2:uid="{4BA2160B-CE8A-FD43-9C3B-072358C868E3}"/>
  </bookViews>
  <sheets>
    <sheet name="raw_output" sheetId="1" r:id="rId1"/>
    <sheet name="Overall Output. Labeled" sheetId="2" r:id="rId2"/>
    <sheet name="Chapter 5 Tables" sheetId="3" r:id="rId3"/>
    <sheet name="Chapter 6 Tables" sheetId="4" r:id="rId4"/>
    <sheet name="Chapter 7 Tables" sheetId="5" r:id="rId5"/>
    <sheet name="Chapter 8 Tables" sheetId="6" r:id="rId6"/>
    <sheet name="Chapter 9 Tables" sheetId="7" r:id="rId7"/>
    <sheet name="Chapter 11 Tables" sheetId="8" r:id="rId8"/>
    <sheet name="Chapter 12 Tables" sheetId="10" r:id="rId9"/>
    <sheet name="Appendix Tables"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0" i="2" l="1"/>
  <c r="J30" i="2" s="1"/>
  <c r="D18" i="9" s="1"/>
  <c r="V20" i="2"/>
  <c r="J20" i="2" s="1"/>
  <c r="E26" i="6"/>
  <c r="E25" i="6"/>
  <c r="E24" i="6"/>
  <c r="E15" i="6"/>
  <c r="E14" i="6"/>
  <c r="E13" i="6"/>
  <c r="E4" i="6"/>
  <c r="E3" i="6"/>
  <c r="W68" i="2" a="1"/>
  <c r="W68" i="2" s="1"/>
  <c r="V68" i="2"/>
  <c r="M68" i="2"/>
  <c r="K68" i="2"/>
  <c r="W67" i="2" a="1"/>
  <c r="W67" i="2" s="1"/>
  <c r="V67" i="2"/>
  <c r="M67" i="2"/>
  <c r="K67" i="2"/>
  <c r="W66" i="2" a="1"/>
  <c r="W66" i="2" s="1"/>
  <c r="L66" i="2" s="1"/>
  <c r="V66" i="2"/>
  <c r="M66" i="2"/>
  <c r="K66" i="2"/>
  <c r="W65" i="2"/>
  <c r="W65" i="2" a="1"/>
  <c r="V65" i="2"/>
  <c r="M65" i="2"/>
  <c r="K65" i="2"/>
  <c r="N27" i="9" s="1"/>
  <c r="W64" i="2" a="1"/>
  <c r="W64" i="2" s="1"/>
  <c r="V64" i="2"/>
  <c r="M64" i="2"/>
  <c r="K64" i="2"/>
  <c r="M30" i="9" s="1"/>
  <c r="W63" i="2" a="1"/>
  <c r="W63" i="2" s="1"/>
  <c r="V63" i="2"/>
  <c r="M63" i="2"/>
  <c r="K63" i="2"/>
  <c r="W62" i="2" a="1"/>
  <c r="W62" i="2" s="1"/>
  <c r="V62" i="2"/>
  <c r="M62" i="2"/>
  <c r="K62" i="2"/>
  <c r="W61" i="2"/>
  <c r="W61" i="2" a="1"/>
  <c r="V61" i="2"/>
  <c r="M61" i="2"/>
  <c r="K61" i="2"/>
  <c r="W60" i="2" a="1"/>
  <c r="W60" i="2" s="1"/>
  <c r="V60" i="2"/>
  <c r="M60" i="2"/>
  <c r="K60" i="2"/>
  <c r="W59" i="2" a="1"/>
  <c r="W59" i="2" s="1"/>
  <c r="V59" i="2"/>
  <c r="M59" i="2"/>
  <c r="K59" i="2"/>
  <c r="W58" i="2" a="1"/>
  <c r="W58" i="2" s="1"/>
  <c r="V58" i="2"/>
  <c r="M58" i="2"/>
  <c r="K58" i="2"/>
  <c r="K28" i="9" s="1"/>
  <c r="W57" i="2" a="1"/>
  <c r="W57" i="2" s="1"/>
  <c r="V57" i="2"/>
  <c r="M57" i="2"/>
  <c r="K57" i="2"/>
  <c r="K27" i="9" s="1"/>
  <c r="W56" i="2" a="1"/>
  <c r="W56" i="2" s="1"/>
  <c r="L56" i="2" s="1"/>
  <c r="V56" i="2"/>
  <c r="M56" i="2"/>
  <c r="K56" i="2"/>
  <c r="J30" i="9" s="1"/>
  <c r="W55" i="2" a="1"/>
  <c r="W55" i="2" s="1"/>
  <c r="L55" i="2" s="1"/>
  <c r="V55" i="2"/>
  <c r="J55" i="2" s="1"/>
  <c r="M55" i="2"/>
  <c r="K55" i="2"/>
  <c r="W54" i="2" a="1"/>
  <c r="W54" i="2" s="1"/>
  <c r="L54" i="2" s="1"/>
  <c r="V54" i="2"/>
  <c r="M54" i="2"/>
  <c r="K54" i="2"/>
  <c r="W53" i="2" a="1"/>
  <c r="W53" i="2" s="1"/>
  <c r="L53" i="2" s="1"/>
  <c r="V53" i="2"/>
  <c r="M53" i="2"/>
  <c r="K53" i="2"/>
  <c r="J27" i="9" s="1"/>
  <c r="W52" i="2" a="1"/>
  <c r="W52" i="2" s="1"/>
  <c r="V52" i="2"/>
  <c r="M52" i="2"/>
  <c r="K52" i="2"/>
  <c r="L30" i="9" s="1"/>
  <c r="W51" i="2" a="1"/>
  <c r="W51" i="2" s="1"/>
  <c r="V51" i="2"/>
  <c r="M51" i="2"/>
  <c r="K51" i="2"/>
  <c r="W50" i="2" a="1"/>
  <c r="W50" i="2" s="1"/>
  <c r="V50" i="2"/>
  <c r="M50" i="2"/>
  <c r="K50" i="2"/>
  <c r="W49" i="2" a="1"/>
  <c r="W49" i="2" s="1"/>
  <c r="V49" i="2"/>
  <c r="M49" i="2"/>
  <c r="K49" i="2"/>
  <c r="W34" i="2" a="1"/>
  <c r="W34" i="2" s="1"/>
  <c r="L34" i="2" s="1"/>
  <c r="V34" i="2"/>
  <c r="M34" i="2"/>
  <c r="K34" i="2"/>
  <c r="B31" i="9" s="1"/>
  <c r="W33" i="2" a="1"/>
  <c r="W33" i="2" s="1"/>
  <c r="L33" i="2" s="1"/>
  <c r="V33" i="2"/>
  <c r="M33" i="2"/>
  <c r="K33" i="2"/>
  <c r="B30" i="9" s="1"/>
  <c r="W32" i="2" a="1"/>
  <c r="W32" i="2" s="1"/>
  <c r="L32" i="2" s="1"/>
  <c r="V32" i="2"/>
  <c r="M32" i="2"/>
  <c r="K32" i="2"/>
  <c r="W31" i="2" a="1"/>
  <c r="W31" i="2" s="1"/>
  <c r="L31" i="2" s="1"/>
  <c r="V31" i="2"/>
  <c r="J31" i="2" s="1"/>
  <c r="M31" i="2"/>
  <c r="K31" i="2"/>
  <c r="B27" i="9" s="1"/>
  <c r="W30" i="2" a="1"/>
  <c r="W30" i="2" s="1"/>
  <c r="L30" i="2" s="1"/>
  <c r="F18" i="9" s="1"/>
  <c r="M30" i="2"/>
  <c r="K30" i="2"/>
  <c r="E18" i="9" s="1"/>
  <c r="W29" i="2" a="1"/>
  <c r="W29" i="2" s="1"/>
  <c r="L29" i="2" s="1"/>
  <c r="V29" i="2"/>
  <c r="M29" i="2"/>
  <c r="K29" i="2"/>
  <c r="E17" i="9" s="1"/>
  <c r="W28" i="2" a="1"/>
  <c r="W28" i="2" s="1"/>
  <c r="L28" i="2" s="1"/>
  <c r="V28" i="2"/>
  <c r="M28" i="2"/>
  <c r="K28" i="2"/>
  <c r="E16" i="9" s="1"/>
  <c r="W27" i="2" a="1"/>
  <c r="W27" i="2" s="1"/>
  <c r="L27" i="2" s="1"/>
  <c r="F15" i="9" s="1"/>
  <c r="V27" i="2"/>
  <c r="M27" i="2"/>
  <c r="K27" i="2"/>
  <c r="W26" i="2" a="1"/>
  <c r="W26" i="2" s="1"/>
  <c r="L26" i="2" s="1"/>
  <c r="V26" i="2"/>
  <c r="J26" i="2" s="1"/>
  <c r="D5" i="9" s="1"/>
  <c r="M26" i="2"/>
  <c r="K26" i="2"/>
  <c r="W25" i="2" a="1"/>
  <c r="W25" i="2" s="1"/>
  <c r="L25" i="2" s="1"/>
  <c r="V25" i="2"/>
  <c r="M25" i="2"/>
  <c r="K25" i="2"/>
  <c r="W24" i="2" a="1"/>
  <c r="W24" i="2" s="1"/>
  <c r="L24" i="2" s="1"/>
  <c r="F3" i="9" s="1"/>
  <c r="V24" i="2"/>
  <c r="M24" i="2"/>
  <c r="K24" i="2"/>
  <c r="E3" i="9" s="1"/>
  <c r="W23" i="2" a="1"/>
  <c r="W23" i="2" s="1"/>
  <c r="L23" i="2" s="1"/>
  <c r="V23" i="2"/>
  <c r="M23" i="2"/>
  <c r="K23" i="2"/>
  <c r="V22" i="2"/>
  <c r="W21" i="2" a="1"/>
  <c r="W21" i="2" s="1"/>
  <c r="L21" i="2" s="1"/>
  <c r="V21" i="2"/>
  <c r="M21" i="2"/>
  <c r="K21" i="2"/>
  <c r="W20" i="2"/>
  <c r="L20" i="2" s="1"/>
  <c r="W20" i="2" a="1"/>
  <c r="M20" i="2"/>
  <c r="K20" i="2"/>
  <c r="C14" i="8" s="1"/>
  <c r="V19" i="2"/>
  <c r="W18" i="2" a="1"/>
  <c r="W18" i="2" s="1"/>
  <c r="L18" i="2" s="1"/>
  <c r="V18" i="2"/>
  <c r="J18" i="2" s="1"/>
  <c r="M18" i="2"/>
  <c r="K18" i="2"/>
  <c r="C4" i="8" s="1"/>
  <c r="V17" i="2"/>
  <c r="W16" i="2" a="1"/>
  <c r="W16" i="2" s="1"/>
  <c r="L16" i="2" s="1"/>
  <c r="G15" i="7" s="1"/>
  <c r="V16" i="2"/>
  <c r="M16" i="2"/>
  <c r="K16" i="2"/>
  <c r="W15" i="2" a="1"/>
  <c r="W15" i="2" s="1"/>
  <c r="L15" i="2" s="1"/>
  <c r="G14" i="7" s="1"/>
  <c r="V15" i="2"/>
  <c r="M15" i="2"/>
  <c r="K15" i="2"/>
  <c r="W14" i="2" a="1"/>
  <c r="W14" i="2" s="1"/>
  <c r="L14" i="2" s="1"/>
  <c r="G13" i="7" s="1"/>
  <c r="V14" i="2"/>
  <c r="M14" i="2"/>
  <c r="K14" i="2"/>
  <c r="W13" i="2" a="1"/>
  <c r="W13" i="2" s="1"/>
  <c r="L13" i="2" s="1"/>
  <c r="V13" i="2"/>
  <c r="J13" i="2" s="1"/>
  <c r="E3" i="7" s="1"/>
  <c r="M13" i="2"/>
  <c r="C21" i="10" s="1"/>
  <c r="K13" i="2"/>
  <c r="F3" i="7" s="1"/>
  <c r="W11" i="2" a="1"/>
  <c r="W11" i="2" s="1"/>
  <c r="V11" i="2"/>
  <c r="M11" i="2"/>
  <c r="K11" i="2"/>
  <c r="W9" i="2" a="1"/>
  <c r="W9" i="2" s="1"/>
  <c r="V9" i="2"/>
  <c r="M9" i="2"/>
  <c r="K9" i="2"/>
  <c r="W8" i="2" a="1"/>
  <c r="W8" i="2" s="1"/>
  <c r="V8" i="2"/>
  <c r="M8" i="2"/>
  <c r="K8" i="2"/>
  <c r="W7" i="2" a="1"/>
  <c r="W7" i="2" s="1"/>
  <c r="V7" i="2"/>
  <c r="M7" i="2"/>
  <c r="C17" i="10" s="1"/>
  <c r="K7" i="2"/>
  <c r="W6" i="2" a="1"/>
  <c r="W6" i="2" s="1"/>
  <c r="L6" i="2" s="1"/>
  <c r="G3" i="5" s="1"/>
  <c r="V6" i="2"/>
  <c r="M6" i="2"/>
  <c r="K6" i="2"/>
  <c r="W5" i="2" a="1"/>
  <c r="W5" i="2" s="1"/>
  <c r="V5" i="2"/>
  <c r="M5" i="2"/>
  <c r="K5" i="2"/>
  <c r="W4" i="2" a="1"/>
  <c r="W4" i="2" s="1"/>
  <c r="L4" i="2" s="1"/>
  <c r="G3" i="4" s="1"/>
  <c r="V4" i="2"/>
  <c r="M4" i="2"/>
  <c r="C19" i="10" s="1"/>
  <c r="K4" i="2"/>
  <c r="W3" i="2"/>
  <c r="L3" i="2" s="1"/>
  <c r="G3" i="3" s="1"/>
  <c r="V3" i="2"/>
  <c r="J3" i="2" s="1"/>
  <c r="E3" i="3" s="1"/>
  <c r="M3" i="2"/>
  <c r="C18" i="10" s="1"/>
  <c r="K3" i="2"/>
  <c r="F3" i="3" s="1"/>
  <c r="J34" i="2"/>
  <c r="J33" i="2"/>
  <c r="Q4" i="2"/>
  <c r="D26" i="6"/>
  <c r="D15" i="6"/>
  <c r="M28" i="9"/>
  <c r="K30" i="9"/>
  <c r="J29" i="9"/>
  <c r="L27" i="9"/>
  <c r="E5" i="9"/>
  <c r="J25" i="2"/>
  <c r="D4" i="9" s="1"/>
  <c r="E4" i="9"/>
  <c r="J24" i="2"/>
  <c r="D3" i="9" s="1"/>
  <c r="J23" i="2"/>
  <c r="B5" i="10" s="1"/>
  <c r="C5" i="10"/>
  <c r="J21" i="2"/>
  <c r="B3" i="10" s="1"/>
  <c r="C3" i="10"/>
  <c r="J16" i="2"/>
  <c r="E15" i="7" s="1"/>
  <c r="F15" i="7"/>
  <c r="J15" i="2"/>
  <c r="E14" i="7" s="1"/>
  <c r="F14" i="7"/>
  <c r="J6" i="2"/>
  <c r="E3" i="5" s="1"/>
  <c r="J4" i="2"/>
  <c r="E3" i="4" s="1"/>
  <c r="F3" i="4"/>
  <c r="C4" i="10"/>
  <c r="J32" i="2"/>
  <c r="J29" i="2"/>
  <c r="D17" i="9" s="1"/>
  <c r="J28" i="2"/>
  <c r="J27" i="2"/>
  <c r="J14" i="2"/>
  <c r="E13" i="7" s="1"/>
  <c r="N30" i="9"/>
  <c r="N29" i="9"/>
  <c r="N28" i="9"/>
  <c r="M29" i="9"/>
  <c r="M27" i="9"/>
  <c r="K29" i="9"/>
  <c r="J54" i="2"/>
  <c r="J28" i="9"/>
  <c r="J53" i="2"/>
  <c r="L29" i="9"/>
  <c r="L28" i="9"/>
  <c r="B29" i="9"/>
  <c r="E15" i="9"/>
  <c r="F13" i="7"/>
  <c r="Q3" i="2"/>
  <c r="J56" i="2"/>
  <c r="R68" i="2"/>
  <c r="I68" i="2"/>
  <c r="R67" i="2"/>
  <c r="I67" i="2"/>
  <c r="R66" i="2"/>
  <c r="I66" i="2"/>
  <c r="R65" i="2"/>
  <c r="I65" i="2"/>
  <c r="R64" i="2"/>
  <c r="Q64" i="2"/>
  <c r="P64" i="2"/>
  <c r="I64" i="2"/>
  <c r="R63" i="2"/>
  <c r="Q63" i="2"/>
  <c r="P63" i="2"/>
  <c r="I63" i="2"/>
  <c r="R62" i="2"/>
  <c r="Q62" i="2"/>
  <c r="P62" i="2"/>
  <c r="I62" i="2"/>
  <c r="R61" i="2"/>
  <c r="Q61" i="2"/>
  <c r="P61" i="2"/>
  <c r="I61" i="2"/>
  <c r="R60" i="2"/>
  <c r="Q60" i="2"/>
  <c r="P60" i="2"/>
  <c r="I60" i="2"/>
  <c r="R59" i="2"/>
  <c r="Q59" i="2"/>
  <c r="P59" i="2"/>
  <c r="I59" i="2"/>
  <c r="R58" i="2"/>
  <c r="Q58" i="2"/>
  <c r="P58" i="2"/>
  <c r="I58" i="2"/>
  <c r="R57" i="2"/>
  <c r="Q57" i="2"/>
  <c r="P57" i="2"/>
  <c r="I57" i="2"/>
  <c r="R56" i="2"/>
  <c r="Q56" i="2"/>
  <c r="P56" i="2"/>
  <c r="I56" i="2"/>
  <c r="R55" i="2"/>
  <c r="Q55" i="2"/>
  <c r="P55" i="2"/>
  <c r="I55" i="2"/>
  <c r="R54" i="2"/>
  <c r="Q54" i="2"/>
  <c r="P54" i="2"/>
  <c r="I54" i="2"/>
  <c r="R53" i="2"/>
  <c r="Q53" i="2"/>
  <c r="P53" i="2"/>
  <c r="I53" i="2"/>
  <c r="R52" i="2"/>
  <c r="Q52" i="2"/>
  <c r="P52" i="2"/>
  <c r="I52" i="2"/>
  <c r="R51" i="2"/>
  <c r="Q51" i="2"/>
  <c r="P51" i="2"/>
  <c r="I51" i="2"/>
  <c r="R50" i="2"/>
  <c r="Q50" i="2"/>
  <c r="P50" i="2"/>
  <c r="I50" i="2"/>
  <c r="R49" i="2"/>
  <c r="Q49" i="2"/>
  <c r="P49" i="2"/>
  <c r="I49" i="2"/>
  <c r="D3" i="5"/>
  <c r="C3" i="5"/>
  <c r="B3" i="5"/>
  <c r="P20" i="2"/>
  <c r="D5" i="10"/>
  <c r="D4" i="10"/>
  <c r="D3" i="10"/>
  <c r="C13" i="8"/>
  <c r="D4" i="8"/>
  <c r="D3" i="8"/>
  <c r="C3" i="8"/>
  <c r="D15" i="7"/>
  <c r="C15" i="7"/>
  <c r="B15" i="7"/>
  <c r="A15" i="7"/>
  <c r="D14" i="7"/>
  <c r="C14" i="7"/>
  <c r="B14" i="7"/>
  <c r="A14" i="7"/>
  <c r="D13" i="7"/>
  <c r="C13" i="7"/>
  <c r="B13" i="7"/>
  <c r="A13" i="7"/>
  <c r="D12" i="7"/>
  <c r="C12" i="7"/>
  <c r="B12" i="7"/>
  <c r="A12" i="7"/>
  <c r="D3" i="7"/>
  <c r="C3" i="7"/>
  <c r="B3" i="7"/>
  <c r="A3" i="7"/>
  <c r="C26" i="6"/>
  <c r="I8" i="2"/>
  <c r="D4" i="5"/>
  <c r="C4" i="5"/>
  <c r="B4" i="5"/>
  <c r="C3" i="4"/>
  <c r="B3" i="4"/>
  <c r="A3" i="4"/>
  <c r="C3" i="3"/>
  <c r="B3" i="3"/>
  <c r="A3" i="3"/>
  <c r="I34" i="2"/>
  <c r="I33" i="2"/>
  <c r="I32" i="2"/>
  <c r="I31" i="2"/>
  <c r="I30" i="2"/>
  <c r="I29" i="2"/>
  <c r="I28" i="2"/>
  <c r="I27" i="2"/>
  <c r="I26" i="2"/>
  <c r="I25" i="2"/>
  <c r="I24" i="2"/>
  <c r="I23" i="2"/>
  <c r="I21" i="2"/>
  <c r="I20" i="2"/>
  <c r="I18" i="2"/>
  <c r="I17" i="2"/>
  <c r="I16" i="2"/>
  <c r="I15" i="2"/>
  <c r="I14" i="2"/>
  <c r="I13" i="2"/>
  <c r="I11" i="2"/>
  <c r="I9" i="2"/>
  <c r="I7" i="2"/>
  <c r="I6" i="2"/>
  <c r="I5" i="2"/>
  <c r="I4" i="2"/>
  <c r="D3" i="4" s="1"/>
  <c r="I3" i="2"/>
  <c r="D3" i="3" s="1"/>
  <c r="R34" i="2"/>
  <c r="Q34" i="2"/>
  <c r="P34" i="2"/>
  <c r="R33" i="2"/>
  <c r="Q33" i="2"/>
  <c r="P33" i="2"/>
  <c r="R32" i="2"/>
  <c r="Q32" i="2"/>
  <c r="P32" i="2"/>
  <c r="R31" i="2"/>
  <c r="Q31" i="2"/>
  <c r="P31" i="2"/>
  <c r="Q29" i="2"/>
  <c r="P29" i="2"/>
  <c r="R28" i="2"/>
  <c r="P28" i="2"/>
  <c r="R27" i="2"/>
  <c r="Q27" i="2"/>
  <c r="R26" i="2"/>
  <c r="R25" i="2"/>
  <c r="R24" i="2"/>
  <c r="Q26" i="2"/>
  <c r="P26" i="2"/>
  <c r="Q25" i="2"/>
  <c r="P25" i="2"/>
  <c r="Q24" i="2"/>
  <c r="P24" i="2"/>
  <c r="Q23" i="2"/>
  <c r="P23" i="2"/>
  <c r="Q21" i="2"/>
  <c r="P21" i="2"/>
  <c r="Q18" i="2"/>
  <c r="P18" i="2"/>
  <c r="Q16" i="2"/>
  <c r="P16" i="2"/>
  <c r="Q15" i="2"/>
  <c r="P15" i="2"/>
  <c r="P14" i="2"/>
  <c r="Q14" i="2"/>
  <c r="R14" i="2"/>
  <c r="R6" i="2"/>
  <c r="Q6" i="2"/>
  <c r="P6" i="2"/>
  <c r="R13" i="2"/>
  <c r="Q13" i="2"/>
  <c r="P13" i="2"/>
  <c r="R11" i="2"/>
  <c r="Q11" i="2"/>
  <c r="P11" i="2"/>
  <c r="R9" i="2"/>
  <c r="Q9" i="2"/>
  <c r="P9" i="2"/>
  <c r="R7" i="2"/>
  <c r="R5" i="2"/>
  <c r="Q5" i="2"/>
  <c r="P5" i="2"/>
  <c r="R4" i="2"/>
  <c r="P4" i="2"/>
  <c r="R3" i="2"/>
  <c r="P3" i="2"/>
  <c r="W12" i="2" l="1"/>
  <c r="L12" i="2" s="1"/>
  <c r="W10" i="2"/>
  <c r="V10" i="2"/>
  <c r="J10" i="2" s="1"/>
  <c r="V12" i="2"/>
  <c r="J11" i="2"/>
  <c r="C25" i="6" s="1"/>
  <c r="J67" i="2"/>
  <c r="J66" i="2"/>
  <c r="B18" i="10"/>
  <c r="L49" i="2"/>
  <c r="L59" i="2"/>
  <c r="L64" i="2"/>
  <c r="L52" i="2"/>
  <c r="L57" i="2"/>
  <c r="L50" i="2"/>
  <c r="L60" i="2"/>
  <c r="L65" i="2"/>
  <c r="L68" i="2"/>
  <c r="L58" i="2"/>
  <c r="L63" i="2"/>
  <c r="L51" i="2"/>
  <c r="L61" i="2"/>
  <c r="J68" i="2"/>
  <c r="L67" i="2"/>
  <c r="J65" i="2"/>
  <c r="J61" i="2"/>
  <c r="J62" i="2"/>
  <c r="J63" i="2"/>
  <c r="J64" i="2"/>
  <c r="L62" i="2"/>
  <c r="J60" i="2"/>
  <c r="J59" i="2"/>
  <c r="J58" i="2"/>
  <c r="J57" i="2"/>
  <c r="J52" i="2"/>
  <c r="J51" i="2"/>
  <c r="J50" i="2"/>
  <c r="J49" i="2"/>
  <c r="B20" i="10"/>
  <c r="F3" i="5"/>
  <c r="D25" i="6"/>
  <c r="B28" i="9"/>
  <c r="B21" i="10"/>
  <c r="G12" i="7"/>
  <c r="F6" i="9"/>
  <c r="G3" i="7"/>
  <c r="J7" i="2"/>
  <c r="C3" i="6" s="1"/>
  <c r="C13" i="6" s="1"/>
  <c r="D16" i="9"/>
  <c r="D15" i="9"/>
  <c r="C20" i="10"/>
  <c r="L5" i="2"/>
  <c r="G4" i="5" s="1"/>
  <c r="B17" i="10"/>
  <c r="L7" i="2"/>
  <c r="L8" i="2"/>
  <c r="D4" i="6"/>
  <c r="D14" i="6"/>
  <c r="D24" i="6" s="1"/>
  <c r="L11" i="2"/>
  <c r="B19" i="10"/>
  <c r="F4" i="5"/>
  <c r="E12" i="7"/>
  <c r="F12" i="7"/>
  <c r="D6" i="9"/>
  <c r="E6" i="9"/>
  <c r="L9" i="2" l="1"/>
  <c r="L10" i="2"/>
  <c r="J9" i="2"/>
  <c r="C14" i="6" s="1"/>
  <c r="C24" i="6" s="1"/>
  <c r="C15" i="6"/>
  <c r="J8" i="2"/>
  <c r="C4" i="6" s="1"/>
  <c r="J5" i="2"/>
  <c r="E4" i="5" s="1"/>
  <c r="D3" i="6"/>
  <c r="D13" i="6" s="1"/>
</calcChain>
</file>

<file path=xl/sharedStrings.xml><?xml version="1.0" encoding="utf-8"?>
<sst xmlns="http://schemas.openxmlformats.org/spreadsheetml/2006/main" count="326" uniqueCount="176">
  <si>
    <t>age_effect</t>
  </si>
  <si>
    <t>initial_effect</t>
  </si>
  <si>
    <t>final_effect</t>
  </si>
  <si>
    <t>mort_effect</t>
  </si>
  <si>
    <t>prod_effect</t>
  </si>
  <si>
    <t>fert_effect</t>
  </si>
  <si>
    <t>pop_path_diffs</t>
  </si>
  <si>
    <t>pop_diffs_2045_2065</t>
  </si>
  <si>
    <t>pop_diffs_2050</t>
  </si>
  <si>
    <t>avg_diff</t>
  </si>
  <si>
    <t>avg_gdp_pc_diff</t>
  </si>
  <si>
    <t>discount_rate</t>
  </si>
  <si>
    <t>NPV</t>
  </si>
  <si>
    <t>Future</t>
  </si>
  <si>
    <t>Chapter Number</t>
  </si>
  <si>
    <t>Future Number</t>
  </si>
  <si>
    <t>Future Name</t>
  </si>
  <si>
    <t>Table Number</t>
  </si>
  <si>
    <t>Simulation Number</t>
  </si>
  <si>
    <t>Mortality decrease in years</t>
  </si>
  <si>
    <t>Productivity increase in years</t>
  </si>
  <si>
    <t>Fertility increase in years</t>
  </si>
  <si>
    <t xml:space="preserve">Annual change
in U.S. GDP
(Avg. 2045-2064) </t>
  </si>
  <si>
    <t>NPV of increased GDP over several decades</t>
  </si>
  <si>
    <t>Adherence Rate</t>
  </si>
  <si>
    <t>adj mort</t>
  </si>
  <si>
    <t>adj prod</t>
  </si>
  <si>
    <t>adj fert</t>
  </si>
  <si>
    <t>Slow brain aging</t>
  </si>
  <si>
    <t>Slow reproductive aging</t>
  </si>
  <si>
    <t>Ages Affected</t>
  </si>
  <si>
    <t>Replacing aging, 4x</t>
  </si>
  <si>
    <t>Replacing aging, 2x</t>
  </si>
  <si>
    <t>1st gen</t>
  </si>
  <si>
    <t>?</t>
  </si>
  <si>
    <t>2nd gen</t>
  </si>
  <si>
    <t>2nd gen + OOC</t>
  </si>
  <si>
    <t>41 the new 40</t>
  </si>
  <si>
    <t>45 the new 40</t>
  </si>
  <si>
    <t>5+</t>
  </si>
  <si>
    <t>NA</t>
  </si>
  <si>
    <t>Discount Rate</t>
  </si>
  <si>
    <t>$80T</t>
  </si>
  <si>
    <t>Deploying existing Malaria vaccines</t>
  </si>
  <si>
    <t>Regular exercise</t>
  </si>
  <si>
    <t>Results from source other than OG-USA simulation</t>
  </si>
  <si>
    <t>41 the new 40, 100% adhere</t>
  </si>
  <si>
    <t>41 is the new 40, Scott et al</t>
  </si>
  <si>
    <t>41 the new 40, 100% adhere, QALY</t>
  </si>
  <si>
    <t>Change in GDP Per Capita</t>
  </si>
  <si>
    <t>1% increase in productivity</t>
  </si>
  <si>
    <t>1% increase in fertility</t>
  </si>
  <si>
    <t>1% increase in all 3 channels</t>
  </si>
  <si>
    <t>1 yr shift in mortality</t>
  </si>
  <si>
    <t>1 year shift in productivity</t>
  </si>
  <si>
    <t>1 year shift in fertility</t>
  </si>
  <si>
    <t>Appendix</t>
  </si>
  <si>
    <t>41 is the new 40, 1% discount</t>
  </si>
  <si>
    <t>41 is the new 40, 3% discount</t>
  </si>
  <si>
    <t>41 is the new 40, 4% discount</t>
  </si>
  <si>
    <t>41 is the new 40, 5% discount</t>
  </si>
  <si>
    <t>Future 1: Slowing Brain Aging</t>
  </si>
  <si>
    <t>Future 2: Slowing Reproductive Aging</t>
  </si>
  <si>
    <t>Future 3: Replacing Aging</t>
  </si>
  <si>
    <t>Notes: Results from simulation using  the OG-USA model. Simulation assumes a four-fold increase in organ transplantation. NPV computed using a discount rate of 2%.  See appendix for more modeling details.</t>
  </si>
  <si>
    <t>Notes: Results from simulation using  the OG-USA model. Simulation assumes a 50% adherence rate to new medical interventions. NPV computed using a discount rate of 2%.  See appendix for more modeling details</t>
  </si>
  <si>
    <t>Future 4: Marginally Slowing Aging</t>
  </si>
  <si>
    <t>Treatment</t>
  </si>
  <si>
    <t>Population Affected</t>
  </si>
  <si>
    <t>65+ (1 disease of aging/slow gait speed - 11% of non-diabetic older adults)</t>
  </si>
  <si>
    <t>65+ (50% of all non-diabetic older adults)</t>
  </si>
  <si>
    <t>1st gen, broader population</t>
  </si>
  <si>
    <t>Future 4: From 1st Gen to 2nd Gen Treatments</t>
  </si>
  <si>
    <t>1st Gen (TAME trial)
Cost: $55 million
 Effects start: 2030
Full Market Entry: 2035</t>
  </si>
  <si>
    <r>
      <t xml:space="preserve">40+ (mostly healthy, decent lifestyle - 50% of the population 40+ is eligible)
- </t>
    </r>
    <r>
      <rPr>
        <b/>
        <sz val="12"/>
        <color theme="1"/>
        <rFont val="Garamond"/>
        <family val="1"/>
      </rPr>
      <t>PREVENTION</t>
    </r>
  </si>
  <si>
    <r>
      <t xml:space="preserve">65+ (1 disease of aging/slow gait speed - 11% of non-diabetic older adults)
- </t>
    </r>
    <r>
      <rPr>
        <b/>
        <sz val="12"/>
        <color theme="1"/>
        <rFont val="Garamond"/>
        <family val="1"/>
      </rPr>
      <t>TREATMENT</t>
    </r>
    <r>
      <rPr>
        <sz val="12"/>
        <color theme="1"/>
        <rFont val="Garamond"/>
        <family val="1"/>
      </rPr>
      <t xml:space="preserve"> + collect &amp; validate biomarkets</t>
    </r>
  </si>
  <si>
    <t>Delta</t>
  </si>
  <si>
    <r>
      <rPr>
        <b/>
        <sz val="12"/>
        <color theme="1"/>
        <rFont val="Garamond"/>
        <family val="1"/>
      </rPr>
      <t>2nd Gen</t>
    </r>
    <r>
      <rPr>
        <sz val="12"/>
        <color theme="1"/>
        <rFont val="Garamond"/>
        <family val="1"/>
      </rPr>
      <t xml:space="preserve">
(Counterfactual therapeutic)
Cost: Unknown</t>
    </r>
  </si>
  <si>
    <r>
      <rPr>
        <b/>
        <sz val="12"/>
        <color theme="1"/>
        <rFont val="Garamond"/>
        <family val="1"/>
      </rPr>
      <t>1st Gen</t>
    </r>
    <r>
      <rPr>
        <sz val="12"/>
        <color theme="1"/>
        <rFont val="Garamond"/>
        <family val="1"/>
      </rPr>
      <t xml:space="preserve">
(TAME trial, existing drug)
 Cost: $55 million</t>
    </r>
  </si>
  <si>
    <t>2nd gen - 1st gen</t>
  </si>
  <si>
    <t>Delta, 2nd gen - 1st gen</t>
  </si>
  <si>
    <t>Computed from other sims</t>
  </si>
  <si>
    <r>
      <rPr>
        <b/>
        <sz val="12"/>
        <color theme="1"/>
        <rFont val="Garamond"/>
        <family val="1"/>
      </rPr>
      <t>2nd Gen</t>
    </r>
    <r>
      <rPr>
        <sz val="12"/>
        <color theme="1"/>
        <rFont val="Garamond"/>
        <family val="1"/>
      </rPr>
      <t xml:space="preserve">
(Counterfactual therapeutic)</t>
    </r>
  </si>
  <si>
    <t>2nd gen+ - 2nd gen</t>
  </si>
  <si>
    <t>Delta, 2nd gen OOC - 2nd gen</t>
  </si>
  <si>
    <t>$18B</t>
  </si>
  <si>
    <r>
      <t xml:space="preserve">40+ (mostly healthy, decent lifestyle))
- </t>
    </r>
    <r>
      <rPr>
        <b/>
        <sz val="12"/>
        <color theme="1"/>
        <rFont val="Garamond"/>
        <family val="1"/>
      </rPr>
      <t>PREVENTION</t>
    </r>
  </si>
  <si>
    <r>
      <t xml:space="preserve">40+ (mostly healthy, decent lifestyle)
- </t>
    </r>
    <r>
      <rPr>
        <b/>
        <sz val="12"/>
        <color theme="1"/>
        <rFont val="Garamond"/>
        <family val="1"/>
      </rPr>
      <t>PREVENTION + 20% development speed</t>
    </r>
  </si>
  <si>
    <t>Future 4: Development with Human-Relevant Methodologies</t>
  </si>
  <si>
    <t>Future 5: Making 41 the new 40</t>
  </si>
  <si>
    <t>Future 5: Slowing Aging by 1 and 5 Years</t>
  </si>
  <si>
    <t>Notes: Results from simulations using  the OG-USA model. Simulation assumes a 50% adherence rate to new medical interventions. NPV computed using a discount rate of 2%.  See appendix for more modeling details</t>
  </si>
  <si>
    <t>Notes: Results from simulations using  the OG-USA model. NPV computed using a discount rate of 2%.  See appendix for more modeling details.</t>
  </si>
  <si>
    <t>Comparison to Other Investments</t>
  </si>
  <si>
    <t>Breakthrough</t>
  </si>
  <si>
    <t>Patient Adherence</t>
  </si>
  <si>
    <t>Curing all cancers</t>
  </si>
  <si>
    <t>Shifting biological age back by 5 years</t>
  </si>
  <si>
    <t>45 the new 40, 100% adhere</t>
  </si>
  <si>
    <t>Notes: Results from simulation using  the OG-USA model. See appendix for more modeling details.</t>
  </si>
  <si>
    <t>Deploying existing malaria vaccines</t>
  </si>
  <si>
    <t>Effect ceiling</t>
  </si>
  <si>
    <t>~100% of malaria incidence eliminated</t>
  </si>
  <si>
    <t>~100% of the US population.  Effecsts have diminishing returns.</t>
  </si>
  <si>
    <t>Making 41 the New 40: A Comparison of Alternative Methodologies</t>
  </si>
  <si>
    <t>Methodology</t>
  </si>
  <si>
    <t>Total Product</t>
  </si>
  <si>
    <t>From Simulation Tool (not direct OG-USA simulation)</t>
  </si>
  <si>
    <t>Not current in book, but discussion about including</t>
  </si>
  <si>
    <t>NOTES:</t>
  </si>
  <si>
    <t>QALY
($160k/QALY)</t>
  </si>
  <si>
    <t>N/A*</t>
  </si>
  <si>
    <t>1st -generation therapeutics</t>
  </si>
  <si>
    <t>Slow brain aging by one year</t>
  </si>
  <si>
    <t>Slow reproductive aging by one year</t>
  </si>
  <si>
    <t>"Replace" aging
(4x increase in organ abundance)</t>
  </si>
  <si>
    <t>Slow overall biological aging by one year</t>
  </si>
  <si>
    <t>Counterfactual Futures: Effects on GDP per Capita</t>
  </si>
  <si>
    <t>Decomposition of a 1-year Shift in Biological Aging</t>
  </si>
  <si>
    <t>Equal Percentage Changes in Each Channel</t>
  </si>
  <si>
    <t>Mortality decrease</t>
  </si>
  <si>
    <t>Productivity increase</t>
  </si>
  <si>
    <t>Fertility increase</t>
  </si>
  <si>
    <t>Sensitivity to Discount Rates: 41 is the New 40</t>
  </si>
  <si>
    <t>Notes: Results from simulation using  the OG-USA model. Simulation assumes a 50% adherence rate to new medical interventions and adjusts for women's fertility choices. NPV computed using a discount rate of 2%.  See appendix for more modeling details.</t>
  </si>
  <si>
    <t>1% decrease in mortality</t>
  </si>
  <si>
    <t>Hard coded values</t>
  </si>
  <si>
    <t>A comparison between two ambitious goals: eliminating all cancers, or shifting biological age back by 5 years.</t>
  </si>
  <si>
    <t>$36.0T</t>
  </si>
  <si>
    <t>Theoretical VSL
($14.3M/statistical life)</t>
  </si>
  <si>
    <t>$46.8T</t>
  </si>
  <si>
    <t>2x Organ Supply</t>
  </si>
  <si>
    <t>4x Organ Supply</t>
  </si>
  <si>
    <t>Nature Aging, Online Methods</t>
  </si>
  <si>
    <t>41 is the new 40, 2% discount</t>
  </si>
  <si>
    <t>Slow brain aging, 1% discount</t>
  </si>
  <si>
    <t>Slow brain aging, 2% discount</t>
  </si>
  <si>
    <t>Slow brain aging, 3% discount</t>
  </si>
  <si>
    <t>Slow brain aging, 4% discount</t>
  </si>
  <si>
    <t>Slow reproductive aging, 1% discount</t>
  </si>
  <si>
    <t>Slow reproductive aging, 2% discount</t>
  </si>
  <si>
    <t>Slow reproductive aging, 3% discount</t>
  </si>
  <si>
    <t>Slow reproductive aging, 4% discount</t>
  </si>
  <si>
    <t>66 is the new 65, 1% discount</t>
  </si>
  <si>
    <t>66 is the new 65, 2% discount</t>
  </si>
  <si>
    <t>66 is the new 65, 3% discount</t>
  </si>
  <si>
    <t>66 is the new 65, 4% discount</t>
  </si>
  <si>
    <t>1st gen, 1%</t>
  </si>
  <si>
    <t>1st gen, 2%</t>
  </si>
  <si>
    <t>1st gen, 3%</t>
  </si>
  <si>
    <t>1st gen, 4%</t>
  </si>
  <si>
    <t>Nature Aging: Sensitivity to Discount Rates in NPV Calculations</t>
  </si>
  <si>
    <t>Slowing brain aging by 1 year</t>
  </si>
  <si>
    <t>Slowing reproductive aging by 1 year</t>
  </si>
  <si>
    <t>Slowing overall aging by 1 year for all adults age 40+</t>
  </si>
  <si>
    <t>Slowing overall aging by 1 year for all adults age 65+</t>
  </si>
  <si>
    <t>TAME, 1st Gen</t>
  </si>
  <si>
    <t>Notes: Results from simulations using  the OG-USA model. Simulation assumes a 50% adherence rate to new medical interventions, and effects on those aged 40+.  See appendix for more modeling details</t>
  </si>
  <si>
    <t>Notes: Results from simulations using  the OG-USA model. Simulation assumes a 50% adherence rate to new medical interventions, and effects on those aged 40+, except for TAME Trial. See appendix for more modeling details</t>
  </si>
  <si>
    <r>
      <rPr>
        <b/>
        <sz val="12"/>
        <color theme="1"/>
        <rFont val="Garamond"/>
        <family val="1"/>
      </rPr>
      <t>2nd Gen + human relevant methodologies</t>
    </r>
    <r>
      <rPr>
        <sz val="12"/>
        <color theme="1"/>
        <rFont val="Garamond"/>
        <family val="1"/>
      </rPr>
      <t xml:space="preserve">
(e.g., virtual cells, organs on chips)</t>
    </r>
  </si>
  <si>
    <t>Notes: Malaria results come from the authors' extrapolation of Oxford Economics (2024).  Malaria affects about 1% of the global population.  Exercise results are from a simulation using  the OG-USA model, assuming exercise increases lifespan by 2.3 years (as in Reimers et al. (2012)). See appendix for more modeling details.</t>
  </si>
  <si>
    <t>Notes: Total product and QALY results come from the OG-USA model, assuming 100% adherence to the treatment.  The $160,000 QALY represents an inflation-adjusted value for the QALY estimate used in Cutler (2004), putting the value in 2025 dollars.  Theoretical VSL values are from Scott et al. (2021), adjusted for inflation to put in 2025 dollars.  *Scott et al. (2021) methods do not allow for a decomposition of annual effects.</t>
  </si>
  <si>
    <t>Increase in GDP per capita over first 20 years</t>
  </si>
  <si>
    <t>Notes: Results from OG-USA simulations. Simulations other than the 1st-generation therapeutics assume a 50% adherence rate among those aged 40+.  The 1st-generation therapeutics simulation assumes treatment of 11% of those aged 65+.</t>
  </si>
  <si>
    <t>0k</t>
  </si>
  <si>
    <t>Notes: Results from simulations using the OG-USA model. Simulations assume effects on those aged 40+. NPV computed using a discount rate of 2%.</t>
  </si>
  <si>
    <t>Notes: Results from simulations using  the OG-USA model. Simulation assumes a 50% adherence rate to new medical interventions, and effects on those aged 40+. NPV computed using a discount rate of 2%.</t>
  </si>
  <si>
    <t>total_pop_diff_2050</t>
  </si>
  <si>
    <t>pop_diffs_2026_2100</t>
  </si>
  <si>
    <t>QALY 20, $B</t>
  </si>
  <si>
    <t>QALY NPV, $T</t>
  </si>
  <si>
    <t>$36.2T</t>
  </si>
  <si>
    <t>$2.0T</t>
  </si>
  <si>
    <t>Additional Living People in 2050</t>
  </si>
  <si>
    <t>Lives saved or gained</t>
  </si>
  <si>
    <r>
      <t>Average change
in US GDP
over first 20 years</t>
    </r>
    <r>
      <rPr>
        <sz val="12"/>
        <color theme="1"/>
        <rFont val="Garamond"/>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</si>
</sst>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rgb="FF000000"/>
      <name val="Garamond"/>
      <family val="1"/>
    </font>
    <font>
      <b/>
      <sz val="12"/>
      <color rgb="FF000000"/>
      <name val="Garamond"/>
      <family val="1"/>
    </font>
    <font>
      <b/>
      <sz val="12"/>
      <color theme="1"/>
      <name val="Aptos Narrow"/>
      <scheme val="minor"/>
    </font>
    <font>
      <sz val="12"/>
      <color theme="1"/>
      <name val="Garamond"/>
      <family val="1"/>
    </font>
    <font>
      <b/>
      <sz val="12"/>
      <color theme="1"/>
      <name val="Garamond"/>
      <family val="1"/>
    </font>
    <font>
      <b/>
      <sz val="16"/>
      <color theme="1"/>
      <name val="Garamond"/>
      <family val="1"/>
    </font>
    <font>
      <sz val="12"/>
      <color rgb="FFFF0000"/>
      <name val="Garamond"/>
      <family val="1"/>
    </font>
    <font>
      <sz val="12"/>
      <color rgb="FF000000"/>
      <name val="Garamond"/>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double">
        <color indexed="64"/>
      </top>
      <bottom style="thin">
        <color indexed="64"/>
      </bottom>
      <diagonal/>
    </border>
    <border>
      <left/>
      <right/>
      <top style="thin">
        <color indexed="64"/>
      </top>
      <bottom/>
      <diagonal/>
    </border>
    <border>
      <left/>
      <right/>
      <top style="double">
        <color indexed="64"/>
      </top>
      <bottom/>
      <diagonal/>
    </border>
    <border>
      <left/>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18" fillId="0" borderId="10" xfId="0" applyFont="1" applyBorder="1" applyAlignment="1">
      <alignment wrapText="1"/>
    </xf>
    <xf numFmtId="0" fontId="19" fillId="0" borderId="10" xfId="0" applyFont="1" applyBorder="1" applyAlignment="1">
      <alignment wrapText="1"/>
    </xf>
    <xf numFmtId="0" fontId="0" fillId="33" borderId="0" xfId="0" applyFill="1"/>
    <xf numFmtId="0" fontId="14" fillId="0" borderId="0" xfId="0" applyFont="1"/>
    <xf numFmtId="0" fontId="19" fillId="0" borderId="0" xfId="0" applyFont="1" applyAlignment="1">
      <alignment wrapText="1"/>
    </xf>
    <xf numFmtId="0" fontId="0" fillId="34" borderId="0" xfId="0" applyFill="1"/>
    <xf numFmtId="0" fontId="20" fillId="0" borderId="0" xfId="0" applyFont="1"/>
    <xf numFmtId="0" fontId="21" fillId="0" borderId="0" xfId="0" applyFont="1"/>
    <xf numFmtId="0" fontId="21" fillId="0" borderId="10" xfId="0" applyFont="1" applyBorder="1" applyAlignment="1">
      <alignment horizontal="center" wrapText="1"/>
    </xf>
    <xf numFmtId="0" fontId="22" fillId="0" borderId="12" xfId="0" applyFont="1" applyBorder="1" applyAlignment="1">
      <alignment horizontal="center" wrapText="1"/>
    </xf>
    <xf numFmtId="0" fontId="18" fillId="0" borderId="12" xfId="0" applyFont="1" applyBorder="1" applyAlignment="1">
      <alignment horizontal="center" wrapText="1"/>
    </xf>
    <xf numFmtId="0" fontId="19" fillId="0" borderId="12" xfId="0" applyFont="1" applyBorder="1" applyAlignment="1">
      <alignment horizontal="center" wrapText="1"/>
    </xf>
    <xf numFmtId="0" fontId="21" fillId="0" borderId="0" xfId="0" applyFont="1" applyAlignment="1">
      <alignment horizontal="left" vertical="top" wrapText="1"/>
    </xf>
    <xf numFmtId="0" fontId="23" fillId="0" borderId="0" xfId="0" applyFont="1"/>
    <xf numFmtId="0" fontId="22" fillId="0" borderId="0" xfId="0" applyFont="1" applyAlignment="1">
      <alignment horizontal="center" wrapText="1"/>
    </xf>
    <xf numFmtId="0" fontId="21" fillId="0" borderId="0" xfId="0" applyFont="1" applyAlignment="1">
      <alignment horizontal="center"/>
    </xf>
    <xf numFmtId="0" fontId="21" fillId="0" borderId="10" xfId="0" applyFont="1" applyBorder="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1" fillId="0" borderId="13" xfId="0" applyFont="1" applyBorder="1" applyAlignment="1">
      <alignment horizontal="center"/>
    </xf>
    <xf numFmtId="0" fontId="21" fillId="0" borderId="10" xfId="0" applyFont="1" applyBorder="1" applyAlignment="1">
      <alignment wrapText="1"/>
    </xf>
    <xf numFmtId="0" fontId="21" fillId="0" borderId="15" xfId="0" applyFont="1" applyBorder="1" applyAlignment="1">
      <alignment horizontal="center" wrapText="1"/>
    </xf>
    <xf numFmtId="0" fontId="21" fillId="0" borderId="10" xfId="0" applyFont="1" applyBorder="1" applyAlignment="1">
      <alignment horizontal="center" vertical="center"/>
    </xf>
    <xf numFmtId="0" fontId="0" fillId="35" borderId="0" xfId="0" applyFill="1"/>
    <xf numFmtId="9" fontId="21" fillId="0" borderId="0" xfId="0" applyNumberFormat="1" applyFont="1" applyAlignment="1">
      <alignment horizontal="center"/>
    </xf>
    <xf numFmtId="164" fontId="21" fillId="0" borderId="0" xfId="1" applyNumberFormat="1" applyFont="1" applyBorder="1" applyAlignment="1">
      <alignment horizontal="center"/>
    </xf>
    <xf numFmtId="0" fontId="21" fillId="0" borderId="0" xfId="0" applyFont="1" applyAlignment="1">
      <alignment vertical="top" wrapText="1"/>
    </xf>
    <xf numFmtId="164" fontId="21" fillId="0" borderId="0" xfId="1" applyNumberFormat="1" applyFont="1" applyBorder="1" applyAlignment="1">
      <alignment horizontal="center" vertical="center" wrapText="1"/>
    </xf>
    <xf numFmtId="0" fontId="0" fillId="36" borderId="0" xfId="0" applyFill="1"/>
    <xf numFmtId="8" fontId="21" fillId="0" borderId="0" xfId="0" applyNumberFormat="1" applyFont="1" applyAlignment="1">
      <alignment horizontal="center" vertical="center"/>
    </xf>
    <xf numFmtId="0" fontId="21" fillId="0" borderId="0" xfId="0" applyFont="1" applyAlignment="1">
      <alignment wrapText="1"/>
    </xf>
    <xf numFmtId="0" fontId="21" fillId="35" borderId="0" xfId="0" applyFont="1" applyFill="1"/>
    <xf numFmtId="0" fontId="21" fillId="35" borderId="0" xfId="0" quotePrefix="1" applyFont="1" applyFill="1"/>
    <xf numFmtId="0" fontId="24" fillId="0" borderId="0" xfId="0" applyFont="1"/>
    <xf numFmtId="0" fontId="21" fillId="34" borderId="0" xfId="0" applyFont="1" applyFill="1"/>
    <xf numFmtId="0" fontId="21" fillId="34" borderId="0" xfId="0" quotePrefix="1" applyFont="1" applyFill="1"/>
    <xf numFmtId="0" fontId="21" fillId="0" borderId="0" xfId="0" quotePrefix="1" applyFont="1"/>
    <xf numFmtId="0" fontId="22" fillId="0" borderId="0" xfId="0" applyFont="1" applyAlignment="1">
      <alignment horizontal="center" vertical="center" wrapText="1"/>
    </xf>
    <xf numFmtId="0" fontId="22" fillId="0" borderId="0" xfId="0" applyFont="1" applyAlignment="1">
      <alignment horizontal="center" vertical="center"/>
    </xf>
    <xf numFmtId="0" fontId="21" fillId="0" borderId="10" xfId="0" applyFont="1" applyBorder="1" applyAlignment="1">
      <alignment horizontal="center"/>
    </xf>
    <xf numFmtId="0" fontId="0" fillId="0" borderId="12" xfId="0" applyBorder="1"/>
    <xf numFmtId="0" fontId="21" fillId="0" borderId="10" xfId="0" applyFont="1" applyBorder="1"/>
    <xf numFmtId="0" fontId="21" fillId="0" borderId="0" xfId="0" applyFont="1" applyAlignment="1">
      <alignment horizontal="center" wrapText="1"/>
    </xf>
    <xf numFmtId="6" fontId="21" fillId="0" borderId="0" xfId="0" applyNumberFormat="1" applyFont="1" applyAlignment="1">
      <alignment horizontal="center" wrapText="1"/>
    </xf>
    <xf numFmtId="0" fontId="18" fillId="0" borderId="11" xfId="0" applyFont="1" applyBorder="1" applyAlignment="1">
      <alignment horizontal="center" wrapText="1"/>
    </xf>
    <xf numFmtId="9" fontId="21" fillId="0" borderId="10" xfId="0" applyNumberFormat="1" applyFont="1" applyBorder="1" applyAlignment="1">
      <alignment horizontal="center"/>
    </xf>
    <xf numFmtId="164" fontId="21" fillId="0" borderId="10" xfId="1" applyNumberFormat="1" applyFont="1" applyBorder="1" applyAlignment="1">
      <alignment horizontal="center"/>
    </xf>
    <xf numFmtId="164" fontId="21" fillId="0" borderId="10" xfId="1" applyNumberFormat="1" applyFont="1" applyBorder="1" applyAlignment="1">
      <alignment horizontal="center" vertical="center" wrapText="1"/>
    </xf>
    <xf numFmtId="0" fontId="24" fillId="34" borderId="0" xfId="0" applyFont="1" applyFill="1"/>
    <xf numFmtId="0" fontId="25" fillId="0" borderId="0" xfId="0" applyFont="1"/>
    <xf numFmtId="0" fontId="21" fillId="0" borderId="14" xfId="0" applyFont="1" applyBorder="1" applyAlignment="1">
      <alignment horizontal="left" vertical="top" wrapText="1"/>
    </xf>
    <xf numFmtId="0" fontId="21" fillId="0" borderId="0" xfId="0" applyFont="1" applyAlignment="1">
      <alignment horizontal="left" vertical="top" wrapText="1"/>
    </xf>
    <xf numFmtId="0" fontId="21" fillId="0" borderId="15" xfId="0" applyFont="1" applyBorder="1" applyAlignment="1">
      <alignment horizontal="center" vertical="center" wrapText="1"/>
    </xf>
    <xf numFmtId="0" fontId="21" fillId="0" borderId="10" xfId="0" applyFont="1" applyBorder="1" applyAlignment="1">
      <alignment horizontal="center" vertical="center" wrapText="1"/>
    </xf>
    <xf numFmtId="0" fontId="18" fillId="0" borderId="12" xfId="0" applyFont="1" applyBorder="1" applyAlignment="1">
      <alignment horizontal="center" wrapText="1"/>
    </xf>
    <xf numFmtId="0" fontId="21" fillId="0" borderId="15" xfId="0" applyFont="1" applyBorder="1" applyAlignment="1">
      <alignment horizontal="center"/>
    </xf>
    <xf numFmtId="0" fontId="21" fillId="0" borderId="0" xfId="0" applyFont="1" applyAlignment="1">
      <alignment horizontal="center"/>
    </xf>
    <xf numFmtId="0" fontId="21" fillId="0" borderId="16" xfId="0" applyFont="1" applyBorder="1" applyAlignment="1">
      <alignment horizontal="center" vertical="center"/>
    </xf>
    <xf numFmtId="0" fontId="22" fillId="0" borderId="16" xfId="0" applyFont="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400" b="1" i="0" u="none" strike="noStrike" baseline="0">
                <a:effectLst/>
                <a:latin typeface="Garamond" panose="02020404030301010803" pitchFamily="18" charset="0"/>
              </a:rPr>
              <a:t>NPV of increased GDP over several decades under alternative discount rates</a:t>
            </a:r>
            <a:endParaRPr lang="en-US" baseline="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strRef>
              <c:f>'Appendix Tables'!$I$43</c:f>
              <c:strCache>
                <c:ptCount val="1"/>
                <c:pt idx="0">
                  <c:v>1%</c:v>
                </c:pt>
              </c:strCache>
            </c:strRef>
          </c:tx>
          <c:spPr>
            <a:solidFill>
              <a:schemeClr val="accent1"/>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Tables'!$J$43:$N$43</c:f>
              <c:numCache>
                <c:formatCode>General</c:formatCode>
                <c:ptCount val="5"/>
                <c:pt idx="0">
                  <c:v>16.5</c:v>
                </c:pt>
                <c:pt idx="1">
                  <c:v>19.100000000000001</c:v>
                </c:pt>
                <c:pt idx="2">
                  <c:v>42.5</c:v>
                </c:pt>
                <c:pt idx="3">
                  <c:v>26.8</c:v>
                </c:pt>
                <c:pt idx="4">
                  <c:v>4.7</c:v>
                </c:pt>
              </c:numCache>
            </c:numRef>
          </c:val>
          <c:extLst>
            <c:ext xmlns:c16="http://schemas.microsoft.com/office/drawing/2014/chart" uri="{C3380CC4-5D6E-409C-BE32-E72D297353CC}">
              <c16:uniqueId val="{00000000-B9DC-234C-AC85-6BEC325B2E3E}"/>
            </c:ext>
          </c:extLst>
        </c:ser>
        <c:ser>
          <c:idx val="1"/>
          <c:order val="1"/>
          <c:tx>
            <c:strRef>
              <c:f>'Appendix Tables'!$I$44</c:f>
              <c:strCache>
                <c:ptCount val="1"/>
                <c:pt idx="0">
                  <c:v>2%</c:v>
                </c:pt>
              </c:strCache>
            </c:strRef>
          </c:tx>
          <c:spPr>
            <a:solidFill>
              <a:schemeClr val="accent2"/>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Tables'!$J$44:$N$44</c:f>
              <c:numCache>
                <c:formatCode>General</c:formatCode>
                <c:ptCount val="5"/>
                <c:pt idx="0">
                  <c:v>9.1</c:v>
                </c:pt>
                <c:pt idx="1">
                  <c:v>8.5</c:v>
                </c:pt>
                <c:pt idx="2">
                  <c:v>22.5</c:v>
                </c:pt>
                <c:pt idx="3">
                  <c:v>14.8</c:v>
                </c:pt>
                <c:pt idx="4">
                  <c:v>2.7</c:v>
                </c:pt>
              </c:numCache>
            </c:numRef>
          </c:val>
          <c:extLst>
            <c:ext xmlns:c16="http://schemas.microsoft.com/office/drawing/2014/chart" uri="{C3380CC4-5D6E-409C-BE32-E72D297353CC}">
              <c16:uniqueId val="{00000001-B9DC-234C-AC85-6BEC325B2E3E}"/>
            </c:ext>
          </c:extLst>
        </c:ser>
        <c:ser>
          <c:idx val="2"/>
          <c:order val="2"/>
          <c:tx>
            <c:strRef>
              <c:f>'Appendix Tables'!$I$45</c:f>
              <c:strCache>
                <c:ptCount val="1"/>
                <c:pt idx="0">
                  <c:v>3%</c:v>
                </c:pt>
              </c:strCache>
            </c:strRef>
          </c:tx>
          <c:spPr>
            <a:solidFill>
              <a:schemeClr val="accent3"/>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Tables'!$J$45:$N$45</c:f>
              <c:numCache>
                <c:formatCode>General</c:formatCode>
                <c:ptCount val="5"/>
                <c:pt idx="0">
                  <c:v>5.4</c:v>
                </c:pt>
                <c:pt idx="1">
                  <c:v>3.9</c:v>
                </c:pt>
                <c:pt idx="2">
                  <c:v>12.6</c:v>
                </c:pt>
                <c:pt idx="3">
                  <c:v>8.6</c:v>
                </c:pt>
                <c:pt idx="4">
                  <c:v>1.7</c:v>
                </c:pt>
              </c:numCache>
            </c:numRef>
          </c:val>
          <c:extLst>
            <c:ext xmlns:c16="http://schemas.microsoft.com/office/drawing/2014/chart" uri="{C3380CC4-5D6E-409C-BE32-E72D297353CC}">
              <c16:uniqueId val="{00000002-B9DC-234C-AC85-6BEC325B2E3E}"/>
            </c:ext>
          </c:extLst>
        </c:ser>
        <c:ser>
          <c:idx val="3"/>
          <c:order val="3"/>
          <c:tx>
            <c:strRef>
              <c:f>'Appendix Tables'!$I$46</c:f>
              <c:strCache>
                <c:ptCount val="1"/>
                <c:pt idx="0">
                  <c:v>4%</c:v>
                </c:pt>
              </c:strCache>
            </c:strRef>
          </c:tx>
          <c:spPr>
            <a:solidFill>
              <a:schemeClr val="accent4"/>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Tables'!$J$46:$N$46</c:f>
              <c:numCache>
                <c:formatCode>General</c:formatCode>
                <c:ptCount val="5"/>
                <c:pt idx="0">
                  <c:v>3.3</c:v>
                </c:pt>
                <c:pt idx="1">
                  <c:v>1.8</c:v>
                </c:pt>
                <c:pt idx="2">
                  <c:v>7.4</c:v>
                </c:pt>
                <c:pt idx="3">
                  <c:v>5.3</c:v>
                </c:pt>
                <c:pt idx="4">
                  <c:v>1.1000000000000001</c:v>
                </c:pt>
              </c:numCache>
            </c:numRef>
          </c:val>
          <c:extLst>
            <c:ext xmlns:c16="http://schemas.microsoft.com/office/drawing/2014/chart" uri="{C3380CC4-5D6E-409C-BE32-E72D297353CC}">
              <c16:uniqueId val="{00000003-B9DC-234C-AC85-6BEC325B2E3E}"/>
            </c:ext>
          </c:extLst>
        </c:ser>
        <c:dLbls>
          <c:showLegendKey val="0"/>
          <c:showVal val="0"/>
          <c:showCatName val="0"/>
          <c:showSerName val="0"/>
          <c:showPercent val="0"/>
          <c:showBubbleSize val="0"/>
        </c:dLbls>
        <c:gapWidth val="219"/>
        <c:overlap val="-27"/>
        <c:axId val="928034736"/>
        <c:axId val="928118224"/>
      </c:barChart>
      <c:catAx>
        <c:axId val="9280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28118224"/>
        <c:crosses val="autoZero"/>
        <c:auto val="1"/>
        <c:lblAlgn val="ctr"/>
        <c:lblOffset val="100"/>
        <c:noMultiLvlLbl val="0"/>
      </c:catAx>
      <c:valAx>
        <c:axId val="92811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baseline="0">
                    <a:latin typeface="Garamond" panose="02020404030301010803" pitchFamily="18" charset="0"/>
                  </a:rPr>
                  <a:t>Trillions of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3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444500</xdr:colOff>
      <xdr:row>41</xdr:row>
      <xdr:rowOff>311150</xdr:rowOff>
    </xdr:from>
    <xdr:to>
      <xdr:col>7</xdr:col>
      <xdr:colOff>698500</xdr:colOff>
      <xdr:row>56</xdr:row>
      <xdr:rowOff>76200</xdr:rowOff>
    </xdr:to>
    <xdr:graphicFrame macro="">
      <xdr:nvGraphicFramePr>
        <xdr:cNvPr id="3" name="Chart 2">
          <a:extLst>
            <a:ext uri="{FF2B5EF4-FFF2-40B4-BE49-F238E27FC236}">
              <a16:creationId xmlns:a16="http://schemas.microsoft.com/office/drawing/2014/main" id="{5EA6E04E-1620-F884-D796-1B2442AE1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2290-DB2E-2549-8CBF-818095425B2D}">
  <dimension ref="A1:P197"/>
  <sheetViews>
    <sheetView workbookViewId="0">
      <pane xSplit="3" ySplit="1" topLeftCell="D143" activePane="bottomRight" state="frozen"/>
      <selection pane="topRight" activeCell="D1" sqref="D1"/>
      <selection pane="bottomLeft" activeCell="A2" sqref="A2"/>
      <selection pane="bottomRight" activeCell="F171" sqref="F171"/>
    </sheetView>
  </sheetViews>
  <sheetFormatPr baseColWidth="10" defaultRowHeight="16" customHeight="1" x14ac:dyDescent="0.2"/>
  <cols>
    <col min="7" max="7" width="12.83203125" bestFit="1" customWidth="1"/>
    <col min="8" max="8" width="18.1640625" customWidth="1"/>
    <col min="9" max="9" width="21.5" customWidth="1"/>
    <col min="10" max="10" width="13.5" customWidth="1"/>
    <col min="14" max="14" width="19.5" customWidth="1"/>
    <col min="15" max="15" width="14" customWidth="1"/>
    <col min="16" max="16" width="14.33203125" customWidth="1"/>
  </cols>
  <sheetData>
    <row r="1" spans="1:16" ht="16" customHeight="1" x14ac:dyDescent="0.2">
      <c r="A1" t="s">
        <v>0</v>
      </c>
      <c r="B1" t="s">
        <v>1</v>
      </c>
      <c r="C1" t="s">
        <v>2</v>
      </c>
      <c r="D1" t="s">
        <v>3</v>
      </c>
      <c r="E1" t="s">
        <v>4</v>
      </c>
      <c r="F1" t="s">
        <v>5</v>
      </c>
      <c r="G1" t="s">
        <v>6</v>
      </c>
      <c r="H1" t="s">
        <v>7</v>
      </c>
      <c r="I1" t="s">
        <v>168</v>
      </c>
      <c r="J1" t="s">
        <v>167</v>
      </c>
      <c r="K1" t="s">
        <v>9</v>
      </c>
      <c r="L1" t="s">
        <v>10</v>
      </c>
      <c r="M1" t="s">
        <v>11</v>
      </c>
      <c r="N1" t="s">
        <v>12</v>
      </c>
      <c r="O1" t="s">
        <v>169</v>
      </c>
      <c r="P1" t="s">
        <v>170</v>
      </c>
    </row>
    <row r="2" spans="1:16" ht="16" customHeight="1" x14ac:dyDescent="0.2">
      <c r="A2">
        <v>40</v>
      </c>
      <c r="B2">
        <v>10</v>
      </c>
      <c r="C2">
        <v>20</v>
      </c>
      <c r="D2">
        <v>0.1</v>
      </c>
      <c r="E2">
        <v>0.6</v>
      </c>
      <c r="F2">
        <v>0</v>
      </c>
      <c r="G2">
        <v>6.5547805844111799</v>
      </c>
      <c r="H2">
        <v>23.706732029747201</v>
      </c>
      <c r="I2">
        <v>0.268111352156156</v>
      </c>
      <c r="J2">
        <v>0.26812770050815599</v>
      </c>
      <c r="K2">
        <v>339.01454637581799</v>
      </c>
      <c r="L2">
        <v>984.17305955896495</v>
      </c>
      <c r="M2">
        <v>0.01</v>
      </c>
      <c r="N2">
        <v>25.967443316919901</v>
      </c>
      <c r="O2">
        <v>53.13325289566</v>
      </c>
      <c r="P2">
        <v>3.1176538215365799</v>
      </c>
    </row>
    <row r="3" spans="1:16" ht="16" customHeight="1" x14ac:dyDescent="0.2">
      <c r="A3">
        <v>40</v>
      </c>
      <c r="B3">
        <v>10</v>
      </c>
      <c r="C3">
        <v>20</v>
      </c>
      <c r="D3">
        <v>0.1</v>
      </c>
      <c r="E3">
        <v>0.6</v>
      </c>
      <c r="F3">
        <v>0</v>
      </c>
      <c r="G3">
        <v>6.5547805844111799</v>
      </c>
      <c r="H3">
        <v>23.706732029747201</v>
      </c>
      <c r="I3">
        <v>0.268111352156156</v>
      </c>
      <c r="J3">
        <v>0.26812770050815599</v>
      </c>
      <c r="K3">
        <v>339.01454637581799</v>
      </c>
      <c r="L3">
        <v>984.17305955896495</v>
      </c>
      <c r="M3">
        <v>0.02</v>
      </c>
      <c r="N3">
        <v>14.427577407747799</v>
      </c>
      <c r="O3">
        <v>53.13325289566</v>
      </c>
      <c r="P3">
        <v>1.8208154256482001</v>
      </c>
    </row>
    <row r="4" spans="1:16" ht="16" customHeight="1" x14ac:dyDescent="0.2">
      <c r="A4">
        <v>40</v>
      </c>
      <c r="B4">
        <v>10</v>
      </c>
      <c r="C4">
        <v>20</v>
      </c>
      <c r="D4">
        <v>0.1</v>
      </c>
      <c r="E4">
        <v>0.6</v>
      </c>
      <c r="F4">
        <v>0</v>
      </c>
      <c r="G4">
        <v>6.5547805844111799</v>
      </c>
      <c r="H4">
        <v>23.706732029747201</v>
      </c>
      <c r="I4">
        <v>0.268111352156156</v>
      </c>
      <c r="J4">
        <v>0.26812770050815599</v>
      </c>
      <c r="K4">
        <v>339.01454637581799</v>
      </c>
      <c r="L4">
        <v>984.17305955896495</v>
      </c>
      <c r="M4">
        <v>0.03</v>
      </c>
      <c r="N4">
        <v>8.4961746195180599</v>
      </c>
      <c r="O4">
        <v>53.13325289566</v>
      </c>
      <c r="P4">
        <v>1.1190227782717601</v>
      </c>
    </row>
    <row r="5" spans="1:16" ht="16" customHeight="1" x14ac:dyDescent="0.2">
      <c r="A5">
        <v>40</v>
      </c>
      <c r="B5">
        <v>10</v>
      </c>
      <c r="C5">
        <v>20</v>
      </c>
      <c r="D5">
        <v>0.1</v>
      </c>
      <c r="E5">
        <v>0.6</v>
      </c>
      <c r="F5">
        <v>0</v>
      </c>
      <c r="G5">
        <v>6.5547805844111799</v>
      </c>
      <c r="H5">
        <v>23.706732029747201</v>
      </c>
      <c r="I5">
        <v>0.268111352156156</v>
      </c>
      <c r="J5">
        <v>0.26812770050815599</v>
      </c>
      <c r="K5">
        <v>339.01454637581799</v>
      </c>
      <c r="L5">
        <v>984.17305955896495</v>
      </c>
      <c r="M5">
        <v>3.5000000000000003E-2</v>
      </c>
      <c r="N5">
        <v>6.65413056046458</v>
      </c>
      <c r="O5">
        <v>53.13325289566</v>
      </c>
      <c r="P5">
        <v>0.89263236732102602</v>
      </c>
    </row>
    <row r="6" spans="1:16" ht="16" customHeight="1" x14ac:dyDescent="0.2">
      <c r="A6">
        <v>40</v>
      </c>
      <c r="B6">
        <v>10</v>
      </c>
      <c r="C6">
        <v>20</v>
      </c>
      <c r="D6">
        <v>0.1</v>
      </c>
      <c r="E6">
        <v>0.6</v>
      </c>
      <c r="F6">
        <v>0</v>
      </c>
      <c r="G6">
        <v>6.5547805844111799</v>
      </c>
      <c r="H6">
        <v>23.706732029747201</v>
      </c>
      <c r="I6">
        <v>0.268111352156156</v>
      </c>
      <c r="J6">
        <v>0.26812770050815599</v>
      </c>
      <c r="K6">
        <v>339.01454637581799</v>
      </c>
      <c r="L6">
        <v>984.17305955896495</v>
      </c>
      <c r="M6">
        <v>0.04</v>
      </c>
      <c r="N6">
        <v>5.2770644184901201</v>
      </c>
      <c r="O6">
        <v>53.13325289566</v>
      </c>
      <c r="P6">
        <v>0.71959859950303995</v>
      </c>
    </row>
    <row r="7" spans="1:16" ht="16" customHeight="1" x14ac:dyDescent="0.2">
      <c r="A7">
        <v>40</v>
      </c>
      <c r="B7">
        <v>10</v>
      </c>
      <c r="C7">
        <v>20</v>
      </c>
      <c r="D7">
        <v>0.1</v>
      </c>
      <c r="E7">
        <v>0.6</v>
      </c>
      <c r="F7">
        <v>0</v>
      </c>
      <c r="G7">
        <v>6.5547805844111799</v>
      </c>
      <c r="H7">
        <v>23.706732029747201</v>
      </c>
      <c r="I7">
        <v>0.268111352156156</v>
      </c>
      <c r="J7">
        <v>0.26812770050815599</v>
      </c>
      <c r="K7">
        <v>339.01454637581799</v>
      </c>
      <c r="L7">
        <v>984.17305955896495</v>
      </c>
      <c r="M7">
        <v>0.05</v>
      </c>
      <c r="N7">
        <v>3.4327844995400101</v>
      </c>
      <c r="O7">
        <v>53.13325289566</v>
      </c>
      <c r="P7">
        <v>0.48118841538042001</v>
      </c>
    </row>
    <row r="8" spans="1:16" ht="16" customHeight="1" x14ac:dyDescent="0.2">
      <c r="A8">
        <v>40</v>
      </c>
      <c r="B8">
        <v>10</v>
      </c>
      <c r="C8">
        <v>20</v>
      </c>
      <c r="D8">
        <v>0.1</v>
      </c>
      <c r="E8">
        <v>0.6</v>
      </c>
      <c r="F8">
        <v>0</v>
      </c>
      <c r="G8">
        <v>6.5547805844111799</v>
      </c>
      <c r="H8">
        <v>23.706732029747201</v>
      </c>
      <c r="I8">
        <v>0.268111352156156</v>
      </c>
      <c r="J8">
        <v>0.26812770050815599</v>
      </c>
      <c r="K8">
        <v>339.01454637581799</v>
      </c>
      <c r="L8">
        <v>984.17305955896495</v>
      </c>
      <c r="M8">
        <v>0.06</v>
      </c>
      <c r="N8">
        <v>2.32040454523906</v>
      </c>
      <c r="O8">
        <v>53.13325289566</v>
      </c>
      <c r="P8">
        <v>0.33258073530383298</v>
      </c>
    </row>
    <row r="9" spans="1:16" ht="16" customHeight="1" x14ac:dyDescent="0.2">
      <c r="A9">
        <v>40</v>
      </c>
      <c r="B9">
        <v>10</v>
      </c>
      <c r="C9">
        <v>20</v>
      </c>
      <c r="D9">
        <v>0.1</v>
      </c>
      <c r="E9">
        <v>0.35</v>
      </c>
      <c r="F9">
        <v>0</v>
      </c>
      <c r="G9">
        <v>6.5547805844111799</v>
      </c>
      <c r="H9">
        <v>23.706732029747201</v>
      </c>
      <c r="I9">
        <v>0.268111352156156</v>
      </c>
      <c r="J9">
        <v>0.26812770050815599</v>
      </c>
      <c r="K9">
        <v>201.289900032801</v>
      </c>
      <c r="L9">
        <v>507.82275436900898</v>
      </c>
      <c r="M9">
        <v>0.01</v>
      </c>
      <c r="N9">
        <v>16.1323650888082</v>
      </c>
      <c r="O9">
        <v>53.13325289566</v>
      </c>
      <c r="P9">
        <v>3.1176538215365799</v>
      </c>
    </row>
    <row r="10" spans="1:16" ht="16" customHeight="1" x14ac:dyDescent="0.2">
      <c r="A10">
        <v>40</v>
      </c>
      <c r="B10">
        <v>10</v>
      </c>
      <c r="C10">
        <v>20</v>
      </c>
      <c r="D10">
        <v>0.1</v>
      </c>
      <c r="E10">
        <v>0.35</v>
      </c>
      <c r="F10">
        <v>0</v>
      </c>
      <c r="G10">
        <v>6.5547805844111799</v>
      </c>
      <c r="H10">
        <v>23.706732029747201</v>
      </c>
      <c r="I10">
        <v>0.268111352156156</v>
      </c>
      <c r="J10">
        <v>0.26812770050815599</v>
      </c>
      <c r="K10">
        <v>201.289900032801</v>
      </c>
      <c r="L10">
        <v>507.82275436900898</v>
      </c>
      <c r="M10">
        <v>0.02</v>
      </c>
      <c r="N10">
        <v>8.9055793728906796</v>
      </c>
      <c r="O10">
        <v>53.13325289566</v>
      </c>
      <c r="P10">
        <v>1.8208154256482001</v>
      </c>
    </row>
    <row r="11" spans="1:16" ht="16" customHeight="1" x14ac:dyDescent="0.2">
      <c r="A11">
        <v>40</v>
      </c>
      <c r="B11">
        <v>10</v>
      </c>
      <c r="C11">
        <v>20</v>
      </c>
      <c r="D11">
        <v>0.1</v>
      </c>
      <c r="E11">
        <v>0.35</v>
      </c>
      <c r="F11">
        <v>0</v>
      </c>
      <c r="G11">
        <v>6.5547805844111799</v>
      </c>
      <c r="H11">
        <v>23.706732029747201</v>
      </c>
      <c r="I11">
        <v>0.268111352156156</v>
      </c>
      <c r="J11">
        <v>0.26812770050815599</v>
      </c>
      <c r="K11">
        <v>201.289900032801</v>
      </c>
      <c r="L11">
        <v>507.82275436900898</v>
      </c>
      <c r="M11">
        <v>0.03</v>
      </c>
      <c r="N11">
        <v>5.2064901900990002</v>
      </c>
      <c r="O11">
        <v>53.13325289566</v>
      </c>
      <c r="P11">
        <v>1.1190227782717601</v>
      </c>
    </row>
    <row r="12" spans="1:16" ht="16" customHeight="1" x14ac:dyDescent="0.2">
      <c r="A12">
        <v>40</v>
      </c>
      <c r="B12">
        <v>10</v>
      </c>
      <c r="C12">
        <v>20</v>
      </c>
      <c r="D12">
        <v>0.1</v>
      </c>
      <c r="E12">
        <v>0.35</v>
      </c>
      <c r="F12">
        <v>0</v>
      </c>
      <c r="G12">
        <v>6.5547805844111799</v>
      </c>
      <c r="H12">
        <v>23.706732029747201</v>
      </c>
      <c r="I12">
        <v>0.268111352156156</v>
      </c>
      <c r="J12">
        <v>0.26812770050815599</v>
      </c>
      <c r="K12">
        <v>201.289900032801</v>
      </c>
      <c r="L12">
        <v>507.82275436900898</v>
      </c>
      <c r="M12">
        <v>3.5000000000000003E-2</v>
      </c>
      <c r="N12">
        <v>4.0621892128219903</v>
      </c>
      <c r="O12">
        <v>53.13325289566</v>
      </c>
      <c r="P12">
        <v>0.89263236732102602</v>
      </c>
    </row>
    <row r="13" spans="1:16" ht="16" customHeight="1" x14ac:dyDescent="0.2">
      <c r="A13">
        <v>40</v>
      </c>
      <c r="B13">
        <v>10</v>
      </c>
      <c r="C13">
        <v>20</v>
      </c>
      <c r="D13">
        <v>0.1</v>
      </c>
      <c r="E13">
        <v>0.35</v>
      </c>
      <c r="F13">
        <v>0</v>
      </c>
      <c r="G13">
        <v>6.5547805844111799</v>
      </c>
      <c r="H13">
        <v>23.706732029747201</v>
      </c>
      <c r="I13">
        <v>0.268111352156156</v>
      </c>
      <c r="J13">
        <v>0.26812770050815599</v>
      </c>
      <c r="K13">
        <v>201.289900032801</v>
      </c>
      <c r="L13">
        <v>507.82275436900898</v>
      </c>
      <c r="M13">
        <v>0.04</v>
      </c>
      <c r="N13">
        <v>3.20909599721965</v>
      </c>
      <c r="O13">
        <v>53.13325289566</v>
      </c>
      <c r="P13">
        <v>0.71959859950303995</v>
      </c>
    </row>
    <row r="14" spans="1:16" ht="16" customHeight="1" x14ac:dyDescent="0.2">
      <c r="A14">
        <v>40</v>
      </c>
      <c r="B14">
        <v>10</v>
      </c>
      <c r="C14">
        <v>20</v>
      </c>
      <c r="D14">
        <v>0.1</v>
      </c>
      <c r="E14">
        <v>0.35</v>
      </c>
      <c r="F14">
        <v>0</v>
      </c>
      <c r="G14">
        <v>6.5547805844111799</v>
      </c>
      <c r="H14">
        <v>23.706732029747201</v>
      </c>
      <c r="I14">
        <v>0.268111352156156</v>
      </c>
      <c r="J14">
        <v>0.26812770050815599</v>
      </c>
      <c r="K14">
        <v>201.289900032801</v>
      </c>
      <c r="L14">
        <v>507.82275436900898</v>
      </c>
      <c r="M14">
        <v>0.05</v>
      </c>
      <c r="N14">
        <v>2.0714284494844</v>
      </c>
      <c r="O14">
        <v>53.13325289566</v>
      </c>
      <c r="P14">
        <v>0.48118841538042001</v>
      </c>
    </row>
    <row r="15" spans="1:16" ht="16" customHeight="1" x14ac:dyDescent="0.2">
      <c r="A15">
        <v>40</v>
      </c>
      <c r="B15">
        <v>10</v>
      </c>
      <c r="C15">
        <v>20</v>
      </c>
      <c r="D15">
        <v>0.1</v>
      </c>
      <c r="E15">
        <v>0.35</v>
      </c>
      <c r="F15">
        <v>0</v>
      </c>
      <c r="G15">
        <v>6.5547805844111799</v>
      </c>
      <c r="H15">
        <v>23.706732029747201</v>
      </c>
      <c r="I15">
        <v>0.268111352156156</v>
      </c>
      <c r="J15">
        <v>0.26812770050815599</v>
      </c>
      <c r="K15">
        <v>201.289900032801</v>
      </c>
      <c r="L15">
        <v>507.82275436900898</v>
      </c>
      <c r="M15">
        <v>0.06</v>
      </c>
      <c r="N15">
        <v>1.38957952631324</v>
      </c>
      <c r="O15">
        <v>53.13325289566</v>
      </c>
      <c r="P15">
        <v>0.33258073530383298</v>
      </c>
    </row>
    <row r="16" spans="1:16" ht="16" customHeight="1" x14ac:dyDescent="0.2">
      <c r="A16">
        <v>40</v>
      </c>
      <c r="B16">
        <v>10</v>
      </c>
      <c r="C16">
        <v>20</v>
      </c>
      <c r="D16">
        <v>0.2</v>
      </c>
      <c r="E16">
        <v>0.7</v>
      </c>
      <c r="F16">
        <v>0</v>
      </c>
      <c r="G16">
        <v>13.1662372922692</v>
      </c>
      <c r="H16">
        <v>47.652923594406502</v>
      </c>
      <c r="I16">
        <v>0.53799431184921498</v>
      </c>
      <c r="J16">
        <v>0.53802700891296595</v>
      </c>
      <c r="K16">
        <v>426.53713933468401</v>
      </c>
      <c r="L16">
        <v>1093.8744456392001</v>
      </c>
      <c r="M16">
        <v>0.01</v>
      </c>
      <c r="N16">
        <v>33.038775935716302</v>
      </c>
      <c r="O16">
        <v>106.730313530149</v>
      </c>
      <c r="P16">
        <v>6.26727132227838</v>
      </c>
    </row>
    <row r="17" spans="1:16" ht="16" customHeight="1" x14ac:dyDescent="0.2">
      <c r="A17">
        <v>40</v>
      </c>
      <c r="B17">
        <v>10</v>
      </c>
      <c r="C17">
        <v>20</v>
      </c>
      <c r="D17">
        <v>0.2</v>
      </c>
      <c r="E17">
        <v>0.7</v>
      </c>
      <c r="F17">
        <v>0</v>
      </c>
      <c r="G17">
        <v>13.1662372922692</v>
      </c>
      <c r="H17">
        <v>47.652923594406502</v>
      </c>
      <c r="I17">
        <v>0.53799431184921498</v>
      </c>
      <c r="J17">
        <v>0.53802700891296595</v>
      </c>
      <c r="K17">
        <v>426.53713933468401</v>
      </c>
      <c r="L17">
        <v>1093.8744456392001</v>
      </c>
      <c r="M17">
        <v>0.02</v>
      </c>
      <c r="N17">
        <v>18.304172299829201</v>
      </c>
      <c r="O17">
        <v>106.730313530149</v>
      </c>
      <c r="P17">
        <v>3.6597182245279098</v>
      </c>
    </row>
    <row r="18" spans="1:16" ht="16" customHeight="1" x14ac:dyDescent="0.2">
      <c r="A18">
        <v>40</v>
      </c>
      <c r="B18">
        <v>10</v>
      </c>
      <c r="C18">
        <v>20</v>
      </c>
      <c r="D18">
        <v>0.2</v>
      </c>
      <c r="E18">
        <v>0.7</v>
      </c>
      <c r="F18">
        <v>0</v>
      </c>
      <c r="G18">
        <v>13.1662372922692</v>
      </c>
      <c r="H18">
        <v>47.652923594406502</v>
      </c>
      <c r="I18">
        <v>0.53799431184921498</v>
      </c>
      <c r="J18">
        <v>0.53802700891296595</v>
      </c>
      <c r="K18">
        <v>426.53713933468401</v>
      </c>
      <c r="L18">
        <v>1093.8744456392001</v>
      </c>
      <c r="M18">
        <v>0.03</v>
      </c>
      <c r="N18">
        <v>10.742564178036901</v>
      </c>
      <c r="O18">
        <v>106.730313530149</v>
      </c>
      <c r="P18">
        <v>2.2487797828166398</v>
      </c>
    </row>
    <row r="19" spans="1:16" ht="16" customHeight="1" x14ac:dyDescent="0.2">
      <c r="A19">
        <v>40</v>
      </c>
      <c r="B19">
        <v>10</v>
      </c>
      <c r="C19">
        <v>20</v>
      </c>
      <c r="D19">
        <v>0.2</v>
      </c>
      <c r="E19">
        <v>0.7</v>
      </c>
      <c r="F19">
        <v>0</v>
      </c>
      <c r="G19">
        <v>13.1662372922692</v>
      </c>
      <c r="H19">
        <v>47.652923594406502</v>
      </c>
      <c r="I19">
        <v>0.53799431184921498</v>
      </c>
      <c r="J19">
        <v>0.53802700891296595</v>
      </c>
      <c r="K19">
        <v>426.53713933468401</v>
      </c>
      <c r="L19">
        <v>1093.8744456392001</v>
      </c>
      <c r="M19">
        <v>3.5000000000000003E-2</v>
      </c>
      <c r="N19">
        <v>8.3978691146005193</v>
      </c>
      <c r="O19">
        <v>106.730313530149</v>
      </c>
      <c r="P19">
        <v>1.79367146639331</v>
      </c>
    </row>
    <row r="20" spans="1:16" ht="16" customHeight="1" x14ac:dyDescent="0.2">
      <c r="A20">
        <v>40</v>
      </c>
      <c r="B20">
        <v>10</v>
      </c>
      <c r="C20">
        <v>20</v>
      </c>
      <c r="D20">
        <v>0.2</v>
      </c>
      <c r="E20">
        <v>0.7</v>
      </c>
      <c r="F20">
        <v>0</v>
      </c>
      <c r="G20">
        <v>13.1662372922692</v>
      </c>
      <c r="H20">
        <v>47.652923594406502</v>
      </c>
      <c r="I20">
        <v>0.53799431184921498</v>
      </c>
      <c r="J20">
        <v>0.53802700891296595</v>
      </c>
      <c r="K20">
        <v>426.53713933468401</v>
      </c>
      <c r="L20">
        <v>1093.8744456392001</v>
      </c>
      <c r="M20">
        <v>0.04</v>
      </c>
      <c r="N20">
        <v>6.6470197034689198</v>
      </c>
      <c r="O20">
        <v>106.730313530149</v>
      </c>
      <c r="P20">
        <v>1.4458482314657499</v>
      </c>
    </row>
    <row r="21" spans="1:16" ht="16" customHeight="1" x14ac:dyDescent="0.2">
      <c r="A21">
        <v>40</v>
      </c>
      <c r="B21">
        <v>10</v>
      </c>
      <c r="C21">
        <v>20</v>
      </c>
      <c r="D21">
        <v>0.2</v>
      </c>
      <c r="E21">
        <v>0.7</v>
      </c>
      <c r="F21">
        <v>0</v>
      </c>
      <c r="G21">
        <v>13.1662372922692</v>
      </c>
      <c r="H21">
        <v>47.652923594406502</v>
      </c>
      <c r="I21">
        <v>0.53799431184921498</v>
      </c>
      <c r="J21">
        <v>0.53802700891296595</v>
      </c>
      <c r="K21">
        <v>426.53713933468401</v>
      </c>
      <c r="L21">
        <v>1093.8744456392001</v>
      </c>
      <c r="M21">
        <v>0.05</v>
      </c>
      <c r="N21">
        <v>4.3064117778277797</v>
      </c>
      <c r="O21">
        <v>106.730313530149</v>
      </c>
      <c r="P21">
        <v>0.966657109387145</v>
      </c>
    </row>
    <row r="22" spans="1:16" ht="16" customHeight="1" x14ac:dyDescent="0.2">
      <c r="A22">
        <v>40</v>
      </c>
      <c r="B22">
        <v>10</v>
      </c>
      <c r="C22">
        <v>20</v>
      </c>
      <c r="D22">
        <v>0.2</v>
      </c>
      <c r="E22">
        <v>0.7</v>
      </c>
      <c r="F22">
        <v>0</v>
      </c>
      <c r="G22">
        <v>13.1662372922692</v>
      </c>
      <c r="H22">
        <v>47.652923594406502</v>
      </c>
      <c r="I22">
        <v>0.53799431184921498</v>
      </c>
      <c r="J22">
        <v>0.53802700891296595</v>
      </c>
      <c r="K22">
        <v>426.53713933468401</v>
      </c>
      <c r="L22">
        <v>1093.8744456392001</v>
      </c>
      <c r="M22">
        <v>0.06</v>
      </c>
      <c r="N22">
        <v>2.8986923005121001</v>
      </c>
      <c r="O22">
        <v>106.730313530149</v>
      </c>
      <c r="P22">
        <v>0.66800749801518799</v>
      </c>
    </row>
    <row r="23" spans="1:16" ht="16" customHeight="1" x14ac:dyDescent="0.2">
      <c r="A23">
        <v>40</v>
      </c>
      <c r="B23">
        <v>10</v>
      </c>
      <c r="C23">
        <v>20</v>
      </c>
      <c r="D23">
        <v>0.01</v>
      </c>
      <c r="E23">
        <v>0.02</v>
      </c>
      <c r="F23">
        <v>0.5</v>
      </c>
      <c r="G23">
        <v>1.1848368435659999</v>
      </c>
      <c r="H23">
        <v>45.316141836420798</v>
      </c>
      <c r="I23">
        <v>2.67319399516622E-2</v>
      </c>
      <c r="J23">
        <v>0.391367610078864</v>
      </c>
      <c r="K23">
        <v>-6.9483302426494404</v>
      </c>
      <c r="L23">
        <v>-60.699977969576103</v>
      </c>
      <c r="M23">
        <v>0.01</v>
      </c>
      <c r="N23">
        <v>19.517225358736301</v>
      </c>
      <c r="O23">
        <v>107.50493501922899</v>
      </c>
      <c r="P23">
        <v>18.872044191541899</v>
      </c>
    </row>
    <row r="24" spans="1:16" ht="16" customHeight="1" x14ac:dyDescent="0.2">
      <c r="A24">
        <v>40</v>
      </c>
      <c r="B24">
        <v>10</v>
      </c>
      <c r="C24">
        <v>20</v>
      </c>
      <c r="D24">
        <v>0.01</v>
      </c>
      <c r="E24">
        <v>0.02</v>
      </c>
      <c r="F24">
        <v>0.5</v>
      </c>
      <c r="G24">
        <v>1.1848368435659999</v>
      </c>
      <c r="H24">
        <v>45.316141836420798</v>
      </c>
      <c r="I24">
        <v>2.67319399516622E-2</v>
      </c>
      <c r="J24">
        <v>0.391367610078864</v>
      </c>
      <c r="K24">
        <v>-6.9483302426494404</v>
      </c>
      <c r="L24">
        <v>-60.699977969576103</v>
      </c>
      <c r="M24">
        <v>0.02</v>
      </c>
      <c r="N24">
        <v>8.6172138202807602</v>
      </c>
      <c r="O24">
        <v>107.50493501922899</v>
      </c>
      <c r="P24">
        <v>9.4891949821237809</v>
      </c>
    </row>
    <row r="25" spans="1:16" ht="16" customHeight="1" x14ac:dyDescent="0.2">
      <c r="A25">
        <v>40</v>
      </c>
      <c r="B25">
        <v>10</v>
      </c>
      <c r="C25">
        <v>20</v>
      </c>
      <c r="D25">
        <v>0.01</v>
      </c>
      <c r="E25">
        <v>0.02</v>
      </c>
      <c r="F25">
        <v>0.5</v>
      </c>
      <c r="G25">
        <v>1.1848368435659999</v>
      </c>
      <c r="H25">
        <v>45.316141836420798</v>
      </c>
      <c r="I25">
        <v>2.67319399516622E-2</v>
      </c>
      <c r="J25">
        <v>0.391367610078864</v>
      </c>
      <c r="K25">
        <v>-6.9483302426494404</v>
      </c>
      <c r="L25">
        <v>-60.699977969576103</v>
      </c>
      <c r="M25">
        <v>0.03</v>
      </c>
      <c r="N25">
        <v>3.8878925965289501</v>
      </c>
      <c r="O25">
        <v>107.50493501922899</v>
      </c>
      <c r="P25">
        <v>5.0127889057773496</v>
      </c>
    </row>
    <row r="26" spans="1:16" ht="16" customHeight="1" x14ac:dyDescent="0.2">
      <c r="A26">
        <v>40</v>
      </c>
      <c r="B26">
        <v>10</v>
      </c>
      <c r="C26">
        <v>20</v>
      </c>
      <c r="D26">
        <v>0.01</v>
      </c>
      <c r="E26">
        <v>0.02</v>
      </c>
      <c r="F26">
        <v>0.5</v>
      </c>
      <c r="G26">
        <v>1.1848368435659999</v>
      </c>
      <c r="H26">
        <v>45.316141836420798</v>
      </c>
      <c r="I26">
        <v>2.67319399516622E-2</v>
      </c>
      <c r="J26">
        <v>0.391367610078864</v>
      </c>
      <c r="K26">
        <v>-6.9483302426494404</v>
      </c>
      <c r="L26">
        <v>-60.699977969576103</v>
      </c>
      <c r="M26">
        <v>3.5000000000000003E-2</v>
      </c>
      <c r="N26">
        <v>2.63091141312389</v>
      </c>
      <c r="O26">
        <v>107.50493501922899</v>
      </c>
      <c r="P26">
        <v>3.7128618382541601</v>
      </c>
    </row>
    <row r="27" spans="1:16" ht="16" customHeight="1" x14ac:dyDescent="0.2">
      <c r="A27">
        <v>40</v>
      </c>
      <c r="B27">
        <v>10</v>
      </c>
      <c r="C27">
        <v>20</v>
      </c>
      <c r="D27">
        <v>0.01</v>
      </c>
      <c r="E27">
        <v>0.02</v>
      </c>
      <c r="F27">
        <v>0.5</v>
      </c>
      <c r="G27">
        <v>1.1848368435659999</v>
      </c>
      <c r="H27">
        <v>45.316141836420798</v>
      </c>
      <c r="I27">
        <v>2.67319399516622E-2</v>
      </c>
      <c r="J27">
        <v>0.391367610078864</v>
      </c>
      <c r="K27">
        <v>-6.9483302426494404</v>
      </c>
      <c r="L27">
        <v>-60.699977969576103</v>
      </c>
      <c r="M27">
        <v>0.04</v>
      </c>
      <c r="N27">
        <v>1.7879499418082401</v>
      </c>
      <c r="O27">
        <v>107.50493501922899</v>
      </c>
      <c r="P27">
        <v>2.78478737211337</v>
      </c>
    </row>
    <row r="28" spans="1:16" ht="16" customHeight="1" x14ac:dyDescent="0.2">
      <c r="A28">
        <v>40</v>
      </c>
      <c r="B28">
        <v>10</v>
      </c>
      <c r="C28">
        <v>20</v>
      </c>
      <c r="D28">
        <v>0.01</v>
      </c>
      <c r="E28">
        <v>0.02</v>
      </c>
      <c r="F28">
        <v>0.5</v>
      </c>
      <c r="G28">
        <v>1.1848368435659999</v>
      </c>
      <c r="H28">
        <v>45.316141836420798</v>
      </c>
      <c r="I28">
        <v>2.67319399516622E-2</v>
      </c>
      <c r="J28">
        <v>0.391367610078864</v>
      </c>
      <c r="K28">
        <v>-6.9483302426494404</v>
      </c>
      <c r="L28">
        <v>-60.699977969576103</v>
      </c>
      <c r="M28">
        <v>0.05</v>
      </c>
      <c r="N28">
        <v>0.83365127004731898</v>
      </c>
      <c r="O28">
        <v>107.50493501922899</v>
      </c>
      <c r="P28">
        <v>1.62537939479132</v>
      </c>
    </row>
    <row r="29" spans="1:16" ht="16" customHeight="1" x14ac:dyDescent="0.2">
      <c r="A29">
        <v>40</v>
      </c>
      <c r="B29">
        <v>10</v>
      </c>
      <c r="C29">
        <v>20</v>
      </c>
      <c r="D29">
        <v>0.01</v>
      </c>
      <c r="E29">
        <v>0.02</v>
      </c>
      <c r="F29">
        <v>0.5</v>
      </c>
      <c r="G29">
        <v>1.1848368435659999</v>
      </c>
      <c r="H29">
        <v>45.316141836420798</v>
      </c>
      <c r="I29">
        <v>2.67319399516622E-2</v>
      </c>
      <c r="J29">
        <v>0.391367610078864</v>
      </c>
      <c r="K29">
        <v>-6.9483302426494404</v>
      </c>
      <c r="L29">
        <v>-60.699977969576103</v>
      </c>
      <c r="M29">
        <v>0.06</v>
      </c>
      <c r="N29">
        <v>0.39009270704835303</v>
      </c>
      <c r="O29">
        <v>107.50493501922899</v>
      </c>
      <c r="P29">
        <v>0.99395708717758502</v>
      </c>
    </row>
    <row r="30" spans="1:16" ht="16" customHeight="1" x14ac:dyDescent="0.2">
      <c r="A30">
        <v>40</v>
      </c>
      <c r="B30">
        <v>10</v>
      </c>
      <c r="C30">
        <v>20</v>
      </c>
      <c r="D30">
        <v>0.01</v>
      </c>
      <c r="E30">
        <v>0.05</v>
      </c>
      <c r="F30">
        <v>0.5</v>
      </c>
      <c r="G30">
        <v>1.1848368435659999</v>
      </c>
      <c r="H30">
        <v>45.316141836420798</v>
      </c>
      <c r="I30">
        <v>2.67319399516622E-2</v>
      </c>
      <c r="J30">
        <v>0.391367610078864</v>
      </c>
      <c r="K30">
        <v>9.0672975647574798</v>
      </c>
      <c r="L30">
        <v>-5.2538885523709196</v>
      </c>
      <c r="M30">
        <v>0.01</v>
      </c>
      <c r="N30">
        <v>20.663797011930502</v>
      </c>
      <c r="O30">
        <v>107.50493501922899</v>
      </c>
      <c r="P30">
        <v>18.872044191541899</v>
      </c>
    </row>
    <row r="31" spans="1:16" ht="16" customHeight="1" x14ac:dyDescent="0.2">
      <c r="A31">
        <v>40</v>
      </c>
      <c r="B31">
        <v>10</v>
      </c>
      <c r="C31">
        <v>20</v>
      </c>
      <c r="D31">
        <v>0.01</v>
      </c>
      <c r="E31">
        <v>0.05</v>
      </c>
      <c r="F31">
        <v>0.5</v>
      </c>
      <c r="G31">
        <v>1.1848368435659999</v>
      </c>
      <c r="H31">
        <v>45.316141836420798</v>
      </c>
      <c r="I31">
        <v>2.67319399516622E-2</v>
      </c>
      <c r="J31">
        <v>0.391367610078864</v>
      </c>
      <c r="K31">
        <v>9.0672975647574798</v>
      </c>
      <c r="L31">
        <v>-5.2538885523709196</v>
      </c>
      <c r="M31">
        <v>0.02</v>
      </c>
      <c r="N31">
        <v>9.2606435099244404</v>
      </c>
      <c r="O31">
        <v>107.50493501922899</v>
      </c>
      <c r="P31">
        <v>9.4891949821237809</v>
      </c>
    </row>
    <row r="32" spans="1:16" ht="16" customHeight="1" x14ac:dyDescent="0.2">
      <c r="A32">
        <v>40</v>
      </c>
      <c r="B32">
        <v>10</v>
      </c>
      <c r="C32">
        <v>20</v>
      </c>
      <c r="D32">
        <v>0.01</v>
      </c>
      <c r="E32">
        <v>0.05</v>
      </c>
      <c r="F32">
        <v>0.5</v>
      </c>
      <c r="G32">
        <v>1.1848368435659999</v>
      </c>
      <c r="H32">
        <v>45.316141836420798</v>
      </c>
      <c r="I32">
        <v>2.67319399516622E-2</v>
      </c>
      <c r="J32">
        <v>0.391367610078864</v>
      </c>
      <c r="K32">
        <v>9.0672975647574798</v>
      </c>
      <c r="L32">
        <v>-5.2538885523709196</v>
      </c>
      <c r="M32">
        <v>0.03</v>
      </c>
      <c r="N32">
        <v>4.2710596281859896</v>
      </c>
      <c r="O32">
        <v>107.50493501922899</v>
      </c>
      <c r="P32">
        <v>5.0127889057773496</v>
      </c>
    </row>
    <row r="33" spans="1:16" ht="16" customHeight="1" x14ac:dyDescent="0.2">
      <c r="A33">
        <v>40</v>
      </c>
      <c r="B33">
        <v>10</v>
      </c>
      <c r="C33">
        <v>20</v>
      </c>
      <c r="D33">
        <v>0.01</v>
      </c>
      <c r="E33">
        <v>0.05</v>
      </c>
      <c r="F33">
        <v>0.5</v>
      </c>
      <c r="G33">
        <v>1.1848368435659999</v>
      </c>
      <c r="H33">
        <v>45.316141836420798</v>
      </c>
      <c r="I33">
        <v>2.67319399516622E-2</v>
      </c>
      <c r="J33">
        <v>0.391367610078864</v>
      </c>
      <c r="K33">
        <v>9.0672975647574798</v>
      </c>
      <c r="L33">
        <v>-5.2538885523709196</v>
      </c>
      <c r="M33">
        <v>3.5000000000000003E-2</v>
      </c>
      <c r="N33">
        <v>2.9327611149175699</v>
      </c>
      <c r="O33">
        <v>107.50493501922899</v>
      </c>
      <c r="P33">
        <v>3.7128618382541601</v>
      </c>
    </row>
    <row r="34" spans="1:16" ht="16" customHeight="1" x14ac:dyDescent="0.2">
      <c r="A34">
        <v>40</v>
      </c>
      <c r="B34">
        <v>10</v>
      </c>
      <c r="C34">
        <v>20</v>
      </c>
      <c r="D34">
        <v>0.01</v>
      </c>
      <c r="E34">
        <v>0.05</v>
      </c>
      <c r="F34">
        <v>0.5</v>
      </c>
      <c r="G34">
        <v>1.1848368435659999</v>
      </c>
      <c r="H34">
        <v>45.316141836420798</v>
      </c>
      <c r="I34">
        <v>2.67319399516622E-2</v>
      </c>
      <c r="J34">
        <v>0.391367610078864</v>
      </c>
      <c r="K34">
        <v>9.0672975647574798</v>
      </c>
      <c r="L34">
        <v>-5.2538885523709196</v>
      </c>
      <c r="M34">
        <v>0.04</v>
      </c>
      <c r="N34">
        <v>2.0287469378163201</v>
      </c>
      <c r="O34">
        <v>107.50493501922899</v>
      </c>
      <c r="P34">
        <v>2.78478737211337</v>
      </c>
    </row>
    <row r="35" spans="1:16" ht="16" customHeight="1" x14ac:dyDescent="0.2">
      <c r="A35">
        <v>40</v>
      </c>
      <c r="B35">
        <v>10</v>
      </c>
      <c r="C35">
        <v>20</v>
      </c>
      <c r="D35">
        <v>0.01</v>
      </c>
      <c r="E35">
        <v>0.05</v>
      </c>
      <c r="F35">
        <v>0.5</v>
      </c>
      <c r="G35">
        <v>1.1848368435659999</v>
      </c>
      <c r="H35">
        <v>45.316141836420798</v>
      </c>
      <c r="I35">
        <v>2.67319399516622E-2</v>
      </c>
      <c r="J35">
        <v>0.391367610078864</v>
      </c>
      <c r="K35">
        <v>9.0672975647574798</v>
      </c>
      <c r="L35">
        <v>-5.2538885523709196</v>
      </c>
      <c r="M35">
        <v>0.05</v>
      </c>
      <c r="N35">
        <v>0.99213501482042099</v>
      </c>
      <c r="O35">
        <v>107.50493501922899</v>
      </c>
      <c r="P35">
        <v>1.62537939479132</v>
      </c>
    </row>
    <row r="36" spans="1:16" ht="16" customHeight="1" x14ac:dyDescent="0.2">
      <c r="A36">
        <v>40</v>
      </c>
      <c r="B36">
        <v>10</v>
      </c>
      <c r="C36">
        <v>20</v>
      </c>
      <c r="D36">
        <v>0.01</v>
      </c>
      <c r="E36">
        <v>0.05</v>
      </c>
      <c r="F36">
        <v>0.5</v>
      </c>
      <c r="G36">
        <v>1.1848368435659999</v>
      </c>
      <c r="H36">
        <v>45.316141836420798</v>
      </c>
      <c r="I36">
        <v>2.67319399516622E-2</v>
      </c>
      <c r="J36">
        <v>0.391367610078864</v>
      </c>
      <c r="K36">
        <v>9.0672975647574798</v>
      </c>
      <c r="L36">
        <v>-5.2538885523709196</v>
      </c>
      <c r="M36">
        <v>0.06</v>
      </c>
      <c r="N36">
        <v>0.49843640729369598</v>
      </c>
      <c r="O36">
        <v>107.50493501922899</v>
      </c>
      <c r="P36">
        <v>0.99395708717758502</v>
      </c>
    </row>
    <row r="37" spans="1:16" ht="16" customHeight="1" x14ac:dyDescent="0.2">
      <c r="A37">
        <v>40</v>
      </c>
      <c r="B37">
        <v>10</v>
      </c>
      <c r="C37">
        <v>20</v>
      </c>
      <c r="D37">
        <v>0.44</v>
      </c>
      <c r="E37">
        <v>0</v>
      </c>
      <c r="F37">
        <v>0</v>
      </c>
      <c r="G37">
        <v>29.270369563795199</v>
      </c>
      <c r="H37">
        <v>106.127491875223</v>
      </c>
      <c r="I37">
        <v>1.1930536099848399</v>
      </c>
      <c r="J37">
        <v>1.1931255454246501</v>
      </c>
      <c r="K37">
        <v>118.19971797090101</v>
      </c>
      <c r="L37">
        <v>-436.88432146682101</v>
      </c>
      <c r="M37">
        <v>0.01</v>
      </c>
      <c r="N37">
        <v>12.9453489693354</v>
      </c>
      <c r="O37">
        <v>237.300290290959</v>
      </c>
      <c r="P37">
        <v>13.9603849474216</v>
      </c>
    </row>
    <row r="38" spans="1:16" ht="16" customHeight="1" x14ac:dyDescent="0.2">
      <c r="A38">
        <v>40</v>
      </c>
      <c r="B38">
        <v>10</v>
      </c>
      <c r="C38">
        <v>20</v>
      </c>
      <c r="D38">
        <v>0.44</v>
      </c>
      <c r="E38">
        <v>0</v>
      </c>
      <c r="F38">
        <v>0</v>
      </c>
      <c r="G38">
        <v>29.270369563795199</v>
      </c>
      <c r="H38">
        <v>106.127491875223</v>
      </c>
      <c r="I38">
        <v>1.1930536099848399</v>
      </c>
      <c r="J38">
        <v>1.1931255454246501</v>
      </c>
      <c r="K38">
        <v>118.19971797090101</v>
      </c>
      <c r="L38">
        <v>-436.88432146682101</v>
      </c>
      <c r="M38">
        <v>0.02</v>
      </c>
      <c r="N38">
        <v>6.8005749938714697</v>
      </c>
      <c r="O38">
        <v>237.300290290959</v>
      </c>
      <c r="P38">
        <v>8.1488883137322503</v>
      </c>
    </row>
    <row r="39" spans="1:16" ht="16" customHeight="1" x14ac:dyDescent="0.2">
      <c r="A39">
        <v>40</v>
      </c>
      <c r="B39">
        <v>10</v>
      </c>
      <c r="C39">
        <v>20</v>
      </c>
      <c r="D39">
        <v>0.44</v>
      </c>
      <c r="E39">
        <v>0</v>
      </c>
      <c r="F39">
        <v>0</v>
      </c>
      <c r="G39">
        <v>29.270369563795199</v>
      </c>
      <c r="H39">
        <v>106.127491875223</v>
      </c>
      <c r="I39">
        <v>1.1930536099848399</v>
      </c>
      <c r="J39">
        <v>1.1931255454246501</v>
      </c>
      <c r="K39">
        <v>118.19971797090101</v>
      </c>
      <c r="L39">
        <v>-436.88432146682101</v>
      </c>
      <c r="M39">
        <v>0.03</v>
      </c>
      <c r="N39">
        <v>3.7401059894006901</v>
      </c>
      <c r="O39">
        <v>237.300290290959</v>
      </c>
      <c r="P39">
        <v>5.0051564092646403</v>
      </c>
    </row>
    <row r="40" spans="1:16" ht="16" customHeight="1" x14ac:dyDescent="0.2">
      <c r="A40">
        <v>40</v>
      </c>
      <c r="B40">
        <v>10</v>
      </c>
      <c r="C40">
        <v>20</v>
      </c>
      <c r="D40">
        <v>0.44</v>
      </c>
      <c r="E40">
        <v>0</v>
      </c>
      <c r="F40">
        <v>0</v>
      </c>
      <c r="G40">
        <v>29.270369563795199</v>
      </c>
      <c r="H40">
        <v>106.127491875223</v>
      </c>
      <c r="I40">
        <v>1.1930536099848399</v>
      </c>
      <c r="J40">
        <v>1.1931255454246501</v>
      </c>
      <c r="K40">
        <v>118.19971797090101</v>
      </c>
      <c r="L40">
        <v>-436.88432146682101</v>
      </c>
      <c r="M40">
        <v>3.5000000000000003E-2</v>
      </c>
      <c r="N40">
        <v>2.8186879442534298</v>
      </c>
      <c r="O40">
        <v>237.300290290959</v>
      </c>
      <c r="P40">
        <v>3.9913655800312</v>
      </c>
    </row>
    <row r="41" spans="1:16" ht="16" customHeight="1" x14ac:dyDescent="0.2">
      <c r="A41">
        <v>40</v>
      </c>
      <c r="B41">
        <v>10</v>
      </c>
      <c r="C41">
        <v>20</v>
      </c>
      <c r="D41">
        <v>0.44</v>
      </c>
      <c r="E41">
        <v>0</v>
      </c>
      <c r="F41">
        <v>0</v>
      </c>
      <c r="G41">
        <v>29.270369563795199</v>
      </c>
      <c r="H41">
        <v>106.127491875223</v>
      </c>
      <c r="I41">
        <v>1.1930536099848399</v>
      </c>
      <c r="J41">
        <v>1.1931255454246501</v>
      </c>
      <c r="K41">
        <v>118.19971797090101</v>
      </c>
      <c r="L41">
        <v>-436.88432146682101</v>
      </c>
      <c r="M41">
        <v>0.04</v>
      </c>
      <c r="N41">
        <v>2.1454108926045801</v>
      </c>
      <c r="O41">
        <v>237.300290290959</v>
      </c>
      <c r="P41">
        <v>3.2166874614553498</v>
      </c>
    </row>
    <row r="42" spans="1:16" ht="16" customHeight="1" x14ac:dyDescent="0.2">
      <c r="A42">
        <v>40</v>
      </c>
      <c r="B42">
        <v>10</v>
      </c>
      <c r="C42">
        <v>20</v>
      </c>
      <c r="D42">
        <v>0.44</v>
      </c>
      <c r="E42">
        <v>0</v>
      </c>
      <c r="F42">
        <v>0</v>
      </c>
      <c r="G42">
        <v>29.270369563795199</v>
      </c>
      <c r="H42">
        <v>106.127491875223</v>
      </c>
      <c r="I42">
        <v>1.1930536099848399</v>
      </c>
      <c r="J42">
        <v>1.1931255454246501</v>
      </c>
      <c r="K42">
        <v>118.19971797090101</v>
      </c>
      <c r="L42">
        <v>-436.88432146682101</v>
      </c>
      <c r="M42">
        <v>0.05</v>
      </c>
      <c r="N42">
        <v>1.2763962139532401</v>
      </c>
      <c r="O42">
        <v>237.300290290959</v>
      </c>
      <c r="P42">
        <v>2.1496871143857601</v>
      </c>
    </row>
    <row r="43" spans="1:16" ht="16" customHeight="1" x14ac:dyDescent="0.2">
      <c r="A43">
        <v>40</v>
      </c>
      <c r="B43">
        <v>10</v>
      </c>
      <c r="C43">
        <v>20</v>
      </c>
      <c r="D43">
        <v>0.44</v>
      </c>
      <c r="E43">
        <v>0</v>
      </c>
      <c r="F43">
        <v>0</v>
      </c>
      <c r="G43">
        <v>29.270369563795199</v>
      </c>
      <c r="H43">
        <v>106.127491875223</v>
      </c>
      <c r="I43">
        <v>1.1930536099848399</v>
      </c>
      <c r="J43">
        <v>1.1931255454246501</v>
      </c>
      <c r="K43">
        <v>118.19971797090101</v>
      </c>
      <c r="L43">
        <v>-436.88432146682101</v>
      </c>
      <c r="M43">
        <v>0.06</v>
      </c>
      <c r="N43">
        <v>0.78212710447467604</v>
      </c>
      <c r="O43">
        <v>237.300290290959</v>
      </c>
      <c r="P43">
        <v>1.4849296273628401</v>
      </c>
    </row>
    <row r="44" spans="1:16" ht="16" customHeight="1" x14ac:dyDescent="0.2">
      <c r="A44">
        <v>40</v>
      </c>
      <c r="B44">
        <v>10</v>
      </c>
      <c r="C44">
        <v>20</v>
      </c>
      <c r="D44">
        <v>0.22</v>
      </c>
      <c r="E44">
        <v>0</v>
      </c>
      <c r="F44">
        <v>0</v>
      </c>
      <c r="G44">
        <v>14.495408307952101</v>
      </c>
      <c r="H44">
        <v>52.471284998526997</v>
      </c>
      <c r="I44">
        <v>0.59218513393580396</v>
      </c>
      <c r="J44">
        <v>0.59222110078507795</v>
      </c>
      <c r="K44">
        <v>49.515117478644598</v>
      </c>
      <c r="L44">
        <v>-247.15022287162699</v>
      </c>
      <c r="M44">
        <v>0.01</v>
      </c>
      <c r="N44">
        <v>6.2412634625003198</v>
      </c>
      <c r="O44">
        <v>117.506032850599</v>
      </c>
      <c r="P44">
        <v>6.9010830229576996</v>
      </c>
    </row>
    <row r="45" spans="1:16" ht="16" customHeight="1" x14ac:dyDescent="0.2">
      <c r="A45">
        <v>40</v>
      </c>
      <c r="B45">
        <v>10</v>
      </c>
      <c r="C45">
        <v>20</v>
      </c>
      <c r="D45">
        <v>0.22</v>
      </c>
      <c r="E45">
        <v>0</v>
      </c>
      <c r="F45">
        <v>0</v>
      </c>
      <c r="G45">
        <v>14.495408307952101</v>
      </c>
      <c r="H45">
        <v>52.471284998526997</v>
      </c>
      <c r="I45">
        <v>0.59218513393580396</v>
      </c>
      <c r="J45">
        <v>0.59222110078507795</v>
      </c>
      <c r="K45">
        <v>49.515117478644598</v>
      </c>
      <c r="L45">
        <v>-247.15022287162699</v>
      </c>
      <c r="M45">
        <v>0.02</v>
      </c>
      <c r="N45">
        <v>3.2420284958692598</v>
      </c>
      <c r="O45">
        <v>117.506032850599</v>
      </c>
      <c r="P45">
        <v>4.0296984147814596</v>
      </c>
    </row>
    <row r="46" spans="1:16" ht="16" customHeight="1" x14ac:dyDescent="0.2">
      <c r="A46">
        <v>40</v>
      </c>
      <c r="B46">
        <v>10</v>
      </c>
      <c r="C46">
        <v>20</v>
      </c>
      <c r="D46">
        <v>0.22</v>
      </c>
      <c r="E46">
        <v>0</v>
      </c>
      <c r="F46">
        <v>0</v>
      </c>
      <c r="G46">
        <v>14.495408307952101</v>
      </c>
      <c r="H46">
        <v>52.471284998526997</v>
      </c>
      <c r="I46">
        <v>0.59218513393580396</v>
      </c>
      <c r="J46">
        <v>0.59222110078507795</v>
      </c>
      <c r="K46">
        <v>49.515117478644598</v>
      </c>
      <c r="L46">
        <v>-247.15022287162699</v>
      </c>
      <c r="M46">
        <v>0.03</v>
      </c>
      <c r="N46">
        <v>1.7583504716110101</v>
      </c>
      <c r="O46">
        <v>117.506032850599</v>
      </c>
      <c r="P46">
        <v>2.4760362017793298</v>
      </c>
    </row>
    <row r="47" spans="1:16" ht="16" customHeight="1" x14ac:dyDescent="0.2">
      <c r="A47">
        <v>40</v>
      </c>
      <c r="B47">
        <v>10</v>
      </c>
      <c r="C47">
        <v>20</v>
      </c>
      <c r="D47">
        <v>0.22</v>
      </c>
      <c r="E47">
        <v>0</v>
      </c>
      <c r="F47">
        <v>0</v>
      </c>
      <c r="G47">
        <v>14.495408307952101</v>
      </c>
      <c r="H47">
        <v>52.471284998526997</v>
      </c>
      <c r="I47">
        <v>0.59218513393580396</v>
      </c>
      <c r="J47">
        <v>0.59222110078507795</v>
      </c>
      <c r="K47">
        <v>49.515117478644598</v>
      </c>
      <c r="L47">
        <v>-247.15022287162699</v>
      </c>
      <c r="M47">
        <v>3.5000000000000003E-2</v>
      </c>
      <c r="N47">
        <v>1.31461833645934</v>
      </c>
      <c r="O47">
        <v>117.506032850599</v>
      </c>
      <c r="P47">
        <v>1.9749011808449</v>
      </c>
    </row>
    <row r="48" spans="1:16" ht="16" customHeight="1" x14ac:dyDescent="0.2">
      <c r="A48">
        <v>40</v>
      </c>
      <c r="B48">
        <v>10</v>
      </c>
      <c r="C48">
        <v>20</v>
      </c>
      <c r="D48">
        <v>0.22</v>
      </c>
      <c r="E48">
        <v>0</v>
      </c>
      <c r="F48">
        <v>0</v>
      </c>
      <c r="G48">
        <v>14.495408307952101</v>
      </c>
      <c r="H48">
        <v>52.471284998526997</v>
      </c>
      <c r="I48">
        <v>0.59218513393580396</v>
      </c>
      <c r="J48">
        <v>0.59222110078507795</v>
      </c>
      <c r="K48">
        <v>49.515117478644598</v>
      </c>
      <c r="L48">
        <v>-247.15022287162699</v>
      </c>
      <c r="M48">
        <v>0.04</v>
      </c>
      <c r="N48">
        <v>0.99195826531023301</v>
      </c>
      <c r="O48">
        <v>117.506032850599</v>
      </c>
      <c r="P48">
        <v>1.59190650914835</v>
      </c>
    </row>
    <row r="49" spans="1:16" ht="16" customHeight="1" x14ac:dyDescent="0.2">
      <c r="A49">
        <v>40</v>
      </c>
      <c r="B49">
        <v>10</v>
      </c>
      <c r="C49">
        <v>20</v>
      </c>
      <c r="D49">
        <v>0.22</v>
      </c>
      <c r="E49">
        <v>0</v>
      </c>
      <c r="F49">
        <v>0</v>
      </c>
      <c r="G49">
        <v>14.495408307952101</v>
      </c>
      <c r="H49">
        <v>52.471284998526997</v>
      </c>
      <c r="I49">
        <v>0.59218513393580396</v>
      </c>
      <c r="J49">
        <v>0.59222110078507795</v>
      </c>
      <c r="K49">
        <v>49.515117478644598</v>
      </c>
      <c r="L49">
        <v>-247.15022287162699</v>
      </c>
      <c r="M49">
        <v>0.05</v>
      </c>
      <c r="N49">
        <v>0.57874386711401005</v>
      </c>
      <c r="O49">
        <v>117.506032850599</v>
      </c>
      <c r="P49">
        <v>1.0642708995057999</v>
      </c>
    </row>
    <row r="50" spans="1:16" ht="16" customHeight="1" x14ac:dyDescent="0.2">
      <c r="A50">
        <v>40</v>
      </c>
      <c r="B50">
        <v>10</v>
      </c>
      <c r="C50">
        <v>20</v>
      </c>
      <c r="D50">
        <v>0.22</v>
      </c>
      <c r="E50">
        <v>0</v>
      </c>
      <c r="F50">
        <v>0</v>
      </c>
      <c r="G50">
        <v>14.495408307952101</v>
      </c>
      <c r="H50">
        <v>52.471284998526997</v>
      </c>
      <c r="I50">
        <v>0.59218513393580396</v>
      </c>
      <c r="J50">
        <v>0.59222110078507795</v>
      </c>
      <c r="K50">
        <v>49.515117478644598</v>
      </c>
      <c r="L50">
        <v>-247.15022287162699</v>
      </c>
      <c r="M50">
        <v>0.06</v>
      </c>
      <c r="N50">
        <v>0.34664327664945799</v>
      </c>
      <c r="O50">
        <v>117.506032850599</v>
      </c>
      <c r="P50">
        <v>0.73543853290737105</v>
      </c>
    </row>
    <row r="51" spans="1:16" ht="16" customHeight="1" x14ac:dyDescent="0.2">
      <c r="A51">
        <v>65</v>
      </c>
      <c r="B51">
        <v>5</v>
      </c>
      <c r="C51">
        <v>10</v>
      </c>
      <c r="D51">
        <v>0.09</v>
      </c>
      <c r="E51">
        <v>0.08</v>
      </c>
      <c r="F51">
        <v>0</v>
      </c>
      <c r="G51">
        <v>5.6561617170268903</v>
      </c>
      <c r="H51">
        <v>18.538204808069999</v>
      </c>
      <c r="I51">
        <v>0.27520844219263502</v>
      </c>
      <c r="J51">
        <v>0.27520844219263502</v>
      </c>
      <c r="K51">
        <v>40.442704486427402</v>
      </c>
      <c r="L51">
        <v>-19.852122113978901</v>
      </c>
      <c r="M51">
        <v>0.01</v>
      </c>
      <c r="N51">
        <v>4.3080471262678897</v>
      </c>
      <c r="O51">
        <v>45.338177771369899</v>
      </c>
      <c r="P51">
        <v>2.43233194677472</v>
      </c>
    </row>
    <row r="52" spans="1:16" ht="16" customHeight="1" x14ac:dyDescent="0.2">
      <c r="A52">
        <v>65</v>
      </c>
      <c r="B52">
        <v>5</v>
      </c>
      <c r="C52">
        <v>10</v>
      </c>
      <c r="D52">
        <v>0.09</v>
      </c>
      <c r="E52">
        <v>0.08</v>
      </c>
      <c r="F52">
        <v>0</v>
      </c>
      <c r="G52">
        <v>5.6561617170268903</v>
      </c>
      <c r="H52">
        <v>18.538204808069999</v>
      </c>
      <c r="I52">
        <v>0.27520844219263502</v>
      </c>
      <c r="J52">
        <v>0.27520844219263502</v>
      </c>
      <c r="K52">
        <v>40.442704486427402</v>
      </c>
      <c r="L52">
        <v>-19.852122113978901</v>
      </c>
      <c r="M52">
        <v>0.02</v>
      </c>
      <c r="N52">
        <v>2.4159562831091002</v>
      </c>
      <c r="O52">
        <v>45.338177771369899</v>
      </c>
      <c r="P52">
        <v>1.50226522773772</v>
      </c>
    </row>
    <row r="53" spans="1:16" ht="16" customHeight="1" x14ac:dyDescent="0.2">
      <c r="A53">
        <v>65</v>
      </c>
      <c r="B53">
        <v>5</v>
      </c>
      <c r="C53">
        <v>10</v>
      </c>
      <c r="D53">
        <v>0.09</v>
      </c>
      <c r="E53">
        <v>0.08</v>
      </c>
      <c r="F53">
        <v>0</v>
      </c>
      <c r="G53">
        <v>5.6561617170268903</v>
      </c>
      <c r="H53">
        <v>18.538204808069999</v>
      </c>
      <c r="I53">
        <v>0.27520844219263502</v>
      </c>
      <c r="J53">
        <v>0.27520844219263502</v>
      </c>
      <c r="K53">
        <v>40.442704486427402</v>
      </c>
      <c r="L53">
        <v>-19.852122113978901</v>
      </c>
      <c r="M53">
        <v>0.03</v>
      </c>
      <c r="N53">
        <v>1.4511986398424199</v>
      </c>
      <c r="O53">
        <v>45.338177771369899</v>
      </c>
      <c r="P53">
        <v>0.98314844942242596</v>
      </c>
    </row>
    <row r="54" spans="1:16" ht="16" customHeight="1" x14ac:dyDescent="0.2">
      <c r="A54">
        <v>65</v>
      </c>
      <c r="B54">
        <v>5</v>
      </c>
      <c r="C54">
        <v>10</v>
      </c>
      <c r="D54">
        <v>0.09</v>
      </c>
      <c r="E54">
        <v>0.08</v>
      </c>
      <c r="F54">
        <v>0</v>
      </c>
      <c r="G54">
        <v>5.6561617170268903</v>
      </c>
      <c r="H54">
        <v>18.538204808069999</v>
      </c>
      <c r="I54">
        <v>0.27520844219263502</v>
      </c>
      <c r="J54">
        <v>0.27520844219263502</v>
      </c>
      <c r="K54">
        <v>40.442704486427402</v>
      </c>
      <c r="L54">
        <v>-19.852122113978901</v>
      </c>
      <c r="M54">
        <v>3.5000000000000003E-2</v>
      </c>
      <c r="N54">
        <v>1.15303913049397</v>
      </c>
      <c r="O54">
        <v>45.338177771369899</v>
      </c>
      <c r="P54">
        <v>0.81076425952171305</v>
      </c>
    </row>
    <row r="55" spans="1:16" ht="16" customHeight="1" x14ac:dyDescent="0.2">
      <c r="A55">
        <v>65</v>
      </c>
      <c r="B55">
        <v>5</v>
      </c>
      <c r="C55">
        <v>10</v>
      </c>
      <c r="D55">
        <v>0.09</v>
      </c>
      <c r="E55">
        <v>0.08</v>
      </c>
      <c r="F55">
        <v>0</v>
      </c>
      <c r="G55">
        <v>5.6561617170268903</v>
      </c>
      <c r="H55">
        <v>18.538204808069999</v>
      </c>
      <c r="I55">
        <v>0.27520844219263502</v>
      </c>
      <c r="J55">
        <v>0.27520844219263502</v>
      </c>
      <c r="K55">
        <v>40.442704486427402</v>
      </c>
      <c r="L55">
        <v>-19.852122113978901</v>
      </c>
      <c r="M55">
        <v>0.04</v>
      </c>
      <c r="N55">
        <v>0.93052971137121898</v>
      </c>
      <c r="O55">
        <v>45.338177771369899</v>
      </c>
      <c r="P55">
        <v>0.67625340433624104</v>
      </c>
    </row>
    <row r="56" spans="1:16" ht="16" customHeight="1" x14ac:dyDescent="0.2">
      <c r="A56">
        <v>65</v>
      </c>
      <c r="B56">
        <v>5</v>
      </c>
      <c r="C56">
        <v>10</v>
      </c>
      <c r="D56">
        <v>0.09</v>
      </c>
      <c r="E56">
        <v>0.08</v>
      </c>
      <c r="F56">
        <v>0</v>
      </c>
      <c r="G56">
        <v>5.6561617170268903</v>
      </c>
      <c r="H56">
        <v>18.538204808069999</v>
      </c>
      <c r="I56">
        <v>0.27520844219263502</v>
      </c>
      <c r="J56">
        <v>0.27520844219263502</v>
      </c>
      <c r="K56">
        <v>40.442704486427402</v>
      </c>
      <c r="L56">
        <v>-19.852122113978901</v>
      </c>
      <c r="M56">
        <v>0.05</v>
      </c>
      <c r="N56">
        <v>0.63247108061736801</v>
      </c>
      <c r="O56">
        <v>45.338177771369899</v>
      </c>
      <c r="P56">
        <v>0.48479231731614703</v>
      </c>
    </row>
    <row r="57" spans="1:16" ht="16" customHeight="1" x14ac:dyDescent="0.2">
      <c r="A57">
        <v>65</v>
      </c>
      <c r="B57">
        <v>5</v>
      </c>
      <c r="C57">
        <v>10</v>
      </c>
      <c r="D57">
        <v>0.09</v>
      </c>
      <c r="E57">
        <v>0.08</v>
      </c>
      <c r="F57">
        <v>0</v>
      </c>
      <c r="G57">
        <v>5.6561617170268903</v>
      </c>
      <c r="H57">
        <v>18.538204808069999</v>
      </c>
      <c r="I57">
        <v>0.27520844219263502</v>
      </c>
      <c r="J57">
        <v>0.27520844219263502</v>
      </c>
      <c r="K57">
        <v>40.442704486427402</v>
      </c>
      <c r="L57">
        <v>-19.852122113978901</v>
      </c>
      <c r="M57">
        <v>0.06</v>
      </c>
      <c r="N57">
        <v>0.45157240878821198</v>
      </c>
      <c r="O57">
        <v>45.338177771369899</v>
      </c>
      <c r="P57">
        <v>0.35944089249246303</v>
      </c>
    </row>
    <row r="58" spans="1:16" ht="16" customHeight="1" x14ac:dyDescent="0.2">
      <c r="A58">
        <v>65</v>
      </c>
      <c r="B58">
        <v>5</v>
      </c>
      <c r="C58">
        <v>10</v>
      </c>
      <c r="D58">
        <v>0.15</v>
      </c>
      <c r="E58">
        <v>0.13</v>
      </c>
      <c r="F58">
        <v>0</v>
      </c>
      <c r="G58">
        <v>9.4606883212493003</v>
      </c>
      <c r="H58">
        <v>31.007337787316398</v>
      </c>
      <c r="I58">
        <v>0.46019280090283299</v>
      </c>
      <c r="J58">
        <v>0.46019280090283299</v>
      </c>
      <c r="K58">
        <v>78.713204045629894</v>
      </c>
      <c r="L58">
        <v>3.9408764143660102</v>
      </c>
      <c r="M58">
        <v>0.01</v>
      </c>
      <c r="N58">
        <v>7.34913914422859</v>
      </c>
      <c r="O58">
        <v>75.834887841267303</v>
      </c>
      <c r="P58">
        <v>4.0684110420554704</v>
      </c>
    </row>
    <row r="59" spans="1:16" ht="16" customHeight="1" x14ac:dyDescent="0.2">
      <c r="A59">
        <v>65</v>
      </c>
      <c r="B59">
        <v>5</v>
      </c>
      <c r="C59">
        <v>10</v>
      </c>
      <c r="D59">
        <v>0.15</v>
      </c>
      <c r="E59">
        <v>0.13</v>
      </c>
      <c r="F59">
        <v>0</v>
      </c>
      <c r="G59">
        <v>9.4606883212493003</v>
      </c>
      <c r="H59">
        <v>31.007337787316398</v>
      </c>
      <c r="I59">
        <v>0.46019280090283299</v>
      </c>
      <c r="J59">
        <v>0.46019280090283299</v>
      </c>
      <c r="K59">
        <v>78.713204045629894</v>
      </c>
      <c r="L59">
        <v>3.9408764143660102</v>
      </c>
      <c r="M59">
        <v>0.02</v>
      </c>
      <c r="N59">
        <v>4.1602373019986603</v>
      </c>
      <c r="O59">
        <v>75.834887841267303</v>
      </c>
      <c r="P59">
        <v>2.5124831391977098</v>
      </c>
    </row>
    <row r="60" spans="1:16" ht="16" customHeight="1" x14ac:dyDescent="0.2">
      <c r="A60">
        <v>65</v>
      </c>
      <c r="B60">
        <v>5</v>
      </c>
      <c r="C60">
        <v>10</v>
      </c>
      <c r="D60">
        <v>0.15</v>
      </c>
      <c r="E60">
        <v>0.13</v>
      </c>
      <c r="F60">
        <v>0</v>
      </c>
      <c r="G60">
        <v>9.4606883212493003</v>
      </c>
      <c r="H60">
        <v>31.007337787316398</v>
      </c>
      <c r="I60">
        <v>0.46019280090283299</v>
      </c>
      <c r="J60">
        <v>0.46019280090283299</v>
      </c>
      <c r="K60">
        <v>78.713204045629894</v>
      </c>
      <c r="L60">
        <v>3.9408764143660102</v>
      </c>
      <c r="M60">
        <v>0.03</v>
      </c>
      <c r="N60">
        <v>2.52179908831544</v>
      </c>
      <c r="O60">
        <v>75.834887841267303</v>
      </c>
      <c r="P60">
        <v>1.64409233082744</v>
      </c>
    </row>
    <row r="61" spans="1:16" ht="16" customHeight="1" x14ac:dyDescent="0.2">
      <c r="A61">
        <v>65</v>
      </c>
      <c r="B61">
        <v>5</v>
      </c>
      <c r="C61">
        <v>10</v>
      </c>
      <c r="D61">
        <v>0.15</v>
      </c>
      <c r="E61">
        <v>0.13</v>
      </c>
      <c r="F61">
        <v>0</v>
      </c>
      <c r="G61">
        <v>9.4606883212493003</v>
      </c>
      <c r="H61">
        <v>31.007337787316398</v>
      </c>
      <c r="I61">
        <v>0.46019280090283299</v>
      </c>
      <c r="J61">
        <v>0.46019280090283299</v>
      </c>
      <c r="K61">
        <v>78.713204045629894</v>
      </c>
      <c r="L61">
        <v>3.9408764143660102</v>
      </c>
      <c r="M61">
        <v>3.5000000000000003E-2</v>
      </c>
      <c r="N61">
        <v>2.0119395493541301</v>
      </c>
      <c r="O61">
        <v>75.834887841267303</v>
      </c>
      <c r="P61">
        <v>1.35573942070751</v>
      </c>
    </row>
    <row r="62" spans="1:16" ht="16" customHeight="1" x14ac:dyDescent="0.2">
      <c r="A62">
        <v>65</v>
      </c>
      <c r="B62">
        <v>5</v>
      </c>
      <c r="C62">
        <v>10</v>
      </c>
      <c r="D62">
        <v>0.15</v>
      </c>
      <c r="E62">
        <v>0.13</v>
      </c>
      <c r="F62">
        <v>0</v>
      </c>
      <c r="G62">
        <v>9.4606883212493003</v>
      </c>
      <c r="H62">
        <v>31.007337787316398</v>
      </c>
      <c r="I62">
        <v>0.46019280090283299</v>
      </c>
      <c r="J62">
        <v>0.46019280090283299</v>
      </c>
      <c r="K62">
        <v>78.713204045629894</v>
      </c>
      <c r="L62">
        <v>3.9408764143660102</v>
      </c>
      <c r="M62">
        <v>0.04</v>
      </c>
      <c r="N62">
        <v>1.6296662824963</v>
      </c>
      <c r="O62">
        <v>75.834887841267303</v>
      </c>
      <c r="P62">
        <v>1.1307470281336101</v>
      </c>
    </row>
    <row r="63" spans="1:16" ht="16" customHeight="1" x14ac:dyDescent="0.2">
      <c r="A63">
        <v>65</v>
      </c>
      <c r="B63">
        <v>5</v>
      </c>
      <c r="C63">
        <v>10</v>
      </c>
      <c r="D63">
        <v>0.15</v>
      </c>
      <c r="E63">
        <v>0.13</v>
      </c>
      <c r="F63">
        <v>0</v>
      </c>
      <c r="G63">
        <v>9.4606883212493003</v>
      </c>
      <c r="H63">
        <v>31.007337787316398</v>
      </c>
      <c r="I63">
        <v>0.46019280090283299</v>
      </c>
      <c r="J63">
        <v>0.46019280090283299</v>
      </c>
      <c r="K63">
        <v>78.713204045629894</v>
      </c>
      <c r="L63">
        <v>3.9408764143660102</v>
      </c>
      <c r="M63">
        <v>0.05</v>
      </c>
      <c r="N63">
        <v>1.1140933711940899</v>
      </c>
      <c r="O63">
        <v>75.834887841267303</v>
      </c>
      <c r="P63">
        <v>0.81051443752938401</v>
      </c>
    </row>
    <row r="64" spans="1:16" ht="16" customHeight="1" x14ac:dyDescent="0.2">
      <c r="A64">
        <v>65</v>
      </c>
      <c r="B64">
        <v>5</v>
      </c>
      <c r="C64">
        <v>10</v>
      </c>
      <c r="D64">
        <v>0.15</v>
      </c>
      <c r="E64">
        <v>0.13</v>
      </c>
      <c r="F64">
        <v>0</v>
      </c>
      <c r="G64">
        <v>9.4606883212493003</v>
      </c>
      <c r="H64">
        <v>31.007337787316398</v>
      </c>
      <c r="I64">
        <v>0.46019280090283299</v>
      </c>
      <c r="J64">
        <v>0.46019280090283299</v>
      </c>
      <c r="K64">
        <v>78.713204045629894</v>
      </c>
      <c r="L64">
        <v>3.9408764143660102</v>
      </c>
      <c r="M64">
        <v>0.06</v>
      </c>
      <c r="N64">
        <v>0.79827539494187905</v>
      </c>
      <c r="O64">
        <v>75.834887841267303</v>
      </c>
      <c r="P64">
        <v>0.60087328009663699</v>
      </c>
    </row>
    <row r="65" spans="1:16" ht="16" customHeight="1" x14ac:dyDescent="0.2">
      <c r="A65">
        <v>40</v>
      </c>
      <c r="B65">
        <v>10</v>
      </c>
      <c r="C65">
        <v>20</v>
      </c>
      <c r="D65">
        <v>0.41</v>
      </c>
      <c r="E65">
        <v>0.72</v>
      </c>
      <c r="F65">
        <v>0</v>
      </c>
      <c r="G65">
        <v>27.238783908174401</v>
      </c>
      <c r="H65">
        <v>98.739191451764697</v>
      </c>
      <c r="I65">
        <v>1.11059832566485</v>
      </c>
      <c r="J65">
        <v>1.1106653561943201</v>
      </c>
      <c r="K65">
        <v>505.03883610934298</v>
      </c>
      <c r="L65">
        <v>954.96834336874099</v>
      </c>
      <c r="M65">
        <v>0.01</v>
      </c>
      <c r="N65">
        <v>40.4045943376941</v>
      </c>
      <c r="O65">
        <v>220.82701296110901</v>
      </c>
      <c r="P65">
        <v>12.988196127774</v>
      </c>
    </row>
    <row r="66" spans="1:16" ht="16" customHeight="1" x14ac:dyDescent="0.2">
      <c r="A66">
        <v>40</v>
      </c>
      <c r="B66">
        <v>10</v>
      </c>
      <c r="C66">
        <v>20</v>
      </c>
      <c r="D66">
        <v>0.41</v>
      </c>
      <c r="E66">
        <v>0.72</v>
      </c>
      <c r="F66">
        <v>0</v>
      </c>
      <c r="G66">
        <v>27.238783908174401</v>
      </c>
      <c r="H66">
        <v>98.739191451764697</v>
      </c>
      <c r="I66">
        <v>1.11059832566485</v>
      </c>
      <c r="J66">
        <v>1.1106653561943201</v>
      </c>
      <c r="K66">
        <v>505.03883610934298</v>
      </c>
      <c r="L66">
        <v>954.96834336874099</v>
      </c>
      <c r="M66">
        <v>0.02</v>
      </c>
      <c r="N66">
        <v>22.239376398978099</v>
      </c>
      <c r="O66">
        <v>220.82701296110901</v>
      </c>
      <c r="P66">
        <v>7.5817778652590198</v>
      </c>
    </row>
    <row r="67" spans="1:16" ht="16" customHeight="1" x14ac:dyDescent="0.2">
      <c r="A67">
        <v>40</v>
      </c>
      <c r="B67">
        <v>10</v>
      </c>
      <c r="C67">
        <v>20</v>
      </c>
      <c r="D67">
        <v>0.41</v>
      </c>
      <c r="E67">
        <v>0.72</v>
      </c>
      <c r="F67">
        <v>0</v>
      </c>
      <c r="G67">
        <v>27.238783908174401</v>
      </c>
      <c r="H67">
        <v>98.739191451764697</v>
      </c>
      <c r="I67">
        <v>1.11059832566485</v>
      </c>
      <c r="J67">
        <v>1.1106653561943201</v>
      </c>
      <c r="K67">
        <v>505.03883610934298</v>
      </c>
      <c r="L67">
        <v>954.96834336874099</v>
      </c>
      <c r="M67">
        <v>0.03</v>
      </c>
      <c r="N67">
        <v>12.9520490306471</v>
      </c>
      <c r="O67">
        <v>220.82701296110901</v>
      </c>
      <c r="P67">
        <v>4.6570733875484196</v>
      </c>
    </row>
    <row r="68" spans="1:16" ht="16" customHeight="1" x14ac:dyDescent="0.2">
      <c r="A68">
        <v>40</v>
      </c>
      <c r="B68">
        <v>10</v>
      </c>
      <c r="C68">
        <v>20</v>
      </c>
      <c r="D68">
        <v>0.41</v>
      </c>
      <c r="E68">
        <v>0.72</v>
      </c>
      <c r="F68">
        <v>0</v>
      </c>
      <c r="G68">
        <v>27.238783908174401</v>
      </c>
      <c r="H68">
        <v>98.739191451764697</v>
      </c>
      <c r="I68">
        <v>1.11059832566485</v>
      </c>
      <c r="J68">
        <v>1.1106653561943201</v>
      </c>
      <c r="K68">
        <v>505.03883610934298</v>
      </c>
      <c r="L68">
        <v>954.96834336874099</v>
      </c>
      <c r="M68">
        <v>3.5000000000000003E-2</v>
      </c>
      <c r="N68">
        <v>10.0827070894544</v>
      </c>
      <c r="O68">
        <v>220.82701296110901</v>
      </c>
      <c r="P68">
        <v>3.7138860321415899</v>
      </c>
    </row>
    <row r="69" spans="1:16" ht="16" customHeight="1" x14ac:dyDescent="0.2">
      <c r="A69">
        <v>40</v>
      </c>
      <c r="B69">
        <v>10</v>
      </c>
      <c r="C69">
        <v>20</v>
      </c>
      <c r="D69">
        <v>0.41</v>
      </c>
      <c r="E69">
        <v>0.72</v>
      </c>
      <c r="F69">
        <v>0</v>
      </c>
      <c r="G69">
        <v>27.238783908174401</v>
      </c>
      <c r="H69">
        <v>98.739191451764697</v>
      </c>
      <c r="I69">
        <v>1.11059832566485</v>
      </c>
      <c r="J69">
        <v>1.1106653561943201</v>
      </c>
      <c r="K69">
        <v>505.03883610934298</v>
      </c>
      <c r="L69">
        <v>954.96834336874099</v>
      </c>
      <c r="M69">
        <v>0.04</v>
      </c>
      <c r="N69">
        <v>7.9457536938799</v>
      </c>
      <c r="O69">
        <v>220.82701296110901</v>
      </c>
      <c r="P69">
        <v>2.9931439853256201</v>
      </c>
    </row>
    <row r="70" spans="1:16" ht="16" customHeight="1" x14ac:dyDescent="0.2">
      <c r="A70">
        <v>40</v>
      </c>
      <c r="B70">
        <v>10</v>
      </c>
      <c r="C70">
        <v>20</v>
      </c>
      <c r="D70">
        <v>0.41</v>
      </c>
      <c r="E70">
        <v>0.72</v>
      </c>
      <c r="F70">
        <v>0</v>
      </c>
      <c r="G70">
        <v>27.238783908174401</v>
      </c>
      <c r="H70">
        <v>98.739191451764697</v>
      </c>
      <c r="I70">
        <v>1.11059832566485</v>
      </c>
      <c r="J70">
        <v>1.1106653561943201</v>
      </c>
      <c r="K70">
        <v>505.03883610934298</v>
      </c>
      <c r="L70">
        <v>954.96834336874099</v>
      </c>
      <c r="M70">
        <v>0.05</v>
      </c>
      <c r="N70">
        <v>5.1010180769272004</v>
      </c>
      <c r="O70">
        <v>220.82701296110901</v>
      </c>
      <c r="P70">
        <v>2.0004014302121198</v>
      </c>
    </row>
    <row r="71" spans="1:16" ht="16" customHeight="1" x14ac:dyDescent="0.2">
      <c r="A71">
        <v>40</v>
      </c>
      <c r="B71">
        <v>10</v>
      </c>
      <c r="C71">
        <v>20</v>
      </c>
      <c r="D71">
        <v>0.41</v>
      </c>
      <c r="E71">
        <v>0.72</v>
      </c>
      <c r="F71">
        <v>0</v>
      </c>
      <c r="G71">
        <v>27.238783908174401</v>
      </c>
      <c r="H71">
        <v>98.739191451764697</v>
      </c>
      <c r="I71">
        <v>1.11059832566485</v>
      </c>
      <c r="J71">
        <v>1.1106653561943201</v>
      </c>
      <c r="K71">
        <v>505.03883610934298</v>
      </c>
      <c r="L71">
        <v>954.96834336874099</v>
      </c>
      <c r="M71">
        <v>0.06</v>
      </c>
      <c r="N71">
        <v>3.4012467095722099</v>
      </c>
      <c r="O71">
        <v>220.82701296110901</v>
      </c>
      <c r="P71">
        <v>1.3818798740848099</v>
      </c>
    </row>
    <row r="72" spans="1:16" ht="16" customHeight="1" x14ac:dyDescent="0.2">
      <c r="A72">
        <v>40</v>
      </c>
      <c r="B72">
        <v>8</v>
      </c>
      <c r="C72">
        <v>16</v>
      </c>
      <c r="D72">
        <v>0.41</v>
      </c>
      <c r="E72">
        <v>0.72</v>
      </c>
      <c r="F72">
        <v>0</v>
      </c>
      <c r="G72">
        <v>30.174455161955802</v>
      </c>
      <c r="H72">
        <v>104.16247582524601</v>
      </c>
      <c r="I72">
        <v>1.33162345538107</v>
      </c>
      <c r="J72">
        <v>1.33172128642234</v>
      </c>
      <c r="K72">
        <v>522.61022569606598</v>
      </c>
      <c r="L72">
        <v>936.42672717982805</v>
      </c>
      <c r="M72">
        <v>0.01</v>
      </c>
      <c r="N72">
        <v>41.637421797581403</v>
      </c>
      <c r="O72">
        <v>243.51359385532299</v>
      </c>
      <c r="P72">
        <v>13.676268151692501</v>
      </c>
    </row>
    <row r="73" spans="1:16" ht="16" customHeight="1" x14ac:dyDescent="0.2">
      <c r="A73">
        <v>40</v>
      </c>
      <c r="B73">
        <v>8</v>
      </c>
      <c r="C73">
        <v>16</v>
      </c>
      <c r="D73">
        <v>0.41</v>
      </c>
      <c r="E73">
        <v>0.72</v>
      </c>
      <c r="F73">
        <v>0</v>
      </c>
      <c r="G73">
        <v>30.174455161955802</v>
      </c>
      <c r="H73">
        <v>104.16247582524601</v>
      </c>
      <c r="I73">
        <v>1.33162345538107</v>
      </c>
      <c r="J73">
        <v>1.33172128642234</v>
      </c>
      <c r="K73">
        <v>522.61022569606598</v>
      </c>
      <c r="L73">
        <v>936.42672717982805</v>
      </c>
      <c r="M73">
        <v>0.02</v>
      </c>
      <c r="N73">
        <v>23.2643198375617</v>
      </c>
      <c r="O73">
        <v>243.51359385532299</v>
      </c>
      <c r="P73">
        <v>8.1323047890094102</v>
      </c>
    </row>
    <row r="74" spans="1:16" ht="16" customHeight="1" x14ac:dyDescent="0.2">
      <c r="A74">
        <v>40</v>
      </c>
      <c r="B74">
        <v>8</v>
      </c>
      <c r="C74">
        <v>16</v>
      </c>
      <c r="D74">
        <v>0.41</v>
      </c>
      <c r="E74">
        <v>0.72</v>
      </c>
      <c r="F74">
        <v>0</v>
      </c>
      <c r="G74">
        <v>30.174455161955802</v>
      </c>
      <c r="H74">
        <v>104.16247582524601</v>
      </c>
      <c r="I74">
        <v>1.33162345538107</v>
      </c>
      <c r="J74">
        <v>1.33172128642234</v>
      </c>
      <c r="K74">
        <v>522.61022569606598</v>
      </c>
      <c r="L74">
        <v>936.42672717982805</v>
      </c>
      <c r="M74">
        <v>0.03</v>
      </c>
      <c r="N74">
        <v>13.808121074352799</v>
      </c>
      <c r="O74">
        <v>243.51359385532299</v>
      </c>
      <c r="P74">
        <v>5.1013184736905002</v>
      </c>
    </row>
    <row r="75" spans="1:16" ht="16" customHeight="1" x14ac:dyDescent="0.2">
      <c r="A75">
        <v>40</v>
      </c>
      <c r="B75">
        <v>8</v>
      </c>
      <c r="C75">
        <v>16</v>
      </c>
      <c r="D75">
        <v>0.41</v>
      </c>
      <c r="E75">
        <v>0.72</v>
      </c>
      <c r="F75">
        <v>0</v>
      </c>
      <c r="G75">
        <v>30.174455161955802</v>
      </c>
      <c r="H75">
        <v>104.16247582524601</v>
      </c>
      <c r="I75">
        <v>1.33162345538107</v>
      </c>
      <c r="J75">
        <v>1.33172128642234</v>
      </c>
      <c r="K75">
        <v>522.61022569606598</v>
      </c>
      <c r="L75">
        <v>936.42672717982805</v>
      </c>
      <c r="M75">
        <v>3.5000000000000003E-2</v>
      </c>
      <c r="N75">
        <v>10.8662242233636</v>
      </c>
      <c r="O75">
        <v>243.51359385532299</v>
      </c>
      <c r="P75">
        <v>4.1141122390265199</v>
      </c>
    </row>
    <row r="76" spans="1:16" ht="16" customHeight="1" x14ac:dyDescent="0.2">
      <c r="A76">
        <v>40</v>
      </c>
      <c r="B76">
        <v>8</v>
      </c>
      <c r="C76">
        <v>16</v>
      </c>
      <c r="D76">
        <v>0.41</v>
      </c>
      <c r="E76">
        <v>0.72</v>
      </c>
      <c r="F76">
        <v>0</v>
      </c>
      <c r="G76">
        <v>30.174455161955802</v>
      </c>
      <c r="H76">
        <v>104.16247582524601</v>
      </c>
      <c r="I76">
        <v>1.33162345538107</v>
      </c>
      <c r="J76">
        <v>1.33172128642234</v>
      </c>
      <c r="K76">
        <v>522.61022569606598</v>
      </c>
      <c r="L76">
        <v>936.42672717982805</v>
      </c>
      <c r="M76">
        <v>0.04</v>
      </c>
      <c r="N76">
        <v>8.6634696972974705</v>
      </c>
      <c r="O76">
        <v>243.51359385532299</v>
      </c>
      <c r="P76">
        <v>3.3543626257298902</v>
      </c>
    </row>
    <row r="77" spans="1:16" ht="16" customHeight="1" x14ac:dyDescent="0.2">
      <c r="A77">
        <v>40</v>
      </c>
      <c r="B77">
        <v>8</v>
      </c>
      <c r="C77">
        <v>16</v>
      </c>
      <c r="D77">
        <v>0.41</v>
      </c>
      <c r="E77">
        <v>0.72</v>
      </c>
      <c r="F77">
        <v>0</v>
      </c>
      <c r="G77">
        <v>30.174455161955802</v>
      </c>
      <c r="H77">
        <v>104.16247582524601</v>
      </c>
      <c r="I77">
        <v>1.33162345538107</v>
      </c>
      <c r="J77">
        <v>1.33172128642234</v>
      </c>
      <c r="K77">
        <v>522.61022569606598</v>
      </c>
      <c r="L77">
        <v>936.42672717982805</v>
      </c>
      <c r="M77">
        <v>0.05</v>
      </c>
      <c r="N77">
        <v>5.7045636935621102</v>
      </c>
      <c r="O77">
        <v>243.51359385532299</v>
      </c>
      <c r="P77">
        <v>2.2961276427975701</v>
      </c>
    </row>
    <row r="78" spans="1:16" ht="16" customHeight="1" x14ac:dyDescent="0.2">
      <c r="A78">
        <v>40</v>
      </c>
      <c r="B78">
        <v>8</v>
      </c>
      <c r="C78">
        <v>16</v>
      </c>
      <c r="D78">
        <v>0.41</v>
      </c>
      <c r="E78">
        <v>0.72</v>
      </c>
      <c r="F78">
        <v>0</v>
      </c>
      <c r="G78">
        <v>30.174455161955802</v>
      </c>
      <c r="H78">
        <v>104.16247582524601</v>
      </c>
      <c r="I78">
        <v>1.33162345538107</v>
      </c>
      <c r="J78">
        <v>1.33172128642234</v>
      </c>
      <c r="K78">
        <v>522.61022569606598</v>
      </c>
      <c r="L78">
        <v>936.42672717982805</v>
      </c>
      <c r="M78">
        <v>0.06</v>
      </c>
      <c r="N78">
        <v>3.9100018955435401</v>
      </c>
      <c r="O78">
        <v>243.51359385532299</v>
      </c>
      <c r="P78">
        <v>1.62549403582981</v>
      </c>
    </row>
    <row r="79" spans="1:16" ht="16" customHeight="1" x14ac:dyDescent="0.2">
      <c r="A79">
        <v>40</v>
      </c>
      <c r="B79">
        <v>10</v>
      </c>
      <c r="C79">
        <v>20</v>
      </c>
      <c r="D79">
        <v>0.5</v>
      </c>
      <c r="E79">
        <v>0</v>
      </c>
      <c r="F79">
        <v>0</v>
      </c>
      <c r="G79">
        <v>33.349710432653602</v>
      </c>
      <c r="H79">
        <v>120.97305122751</v>
      </c>
      <c r="I79">
        <v>1.35846038492595</v>
      </c>
      <c r="J79">
        <v>1.3585421302835701</v>
      </c>
      <c r="K79">
        <v>137.08382162448899</v>
      </c>
      <c r="L79">
        <v>-489.40115578296599</v>
      </c>
      <c r="M79">
        <v>0.01</v>
      </c>
      <c r="N79">
        <v>14.791553495351</v>
      </c>
      <c r="O79">
        <v>270.379254072165</v>
      </c>
      <c r="P79">
        <v>15.91397621808</v>
      </c>
    </row>
    <row r="80" spans="1:16" ht="16" customHeight="1" x14ac:dyDescent="0.2">
      <c r="A80">
        <v>40</v>
      </c>
      <c r="B80">
        <v>10</v>
      </c>
      <c r="C80">
        <v>20</v>
      </c>
      <c r="D80">
        <v>0.5</v>
      </c>
      <c r="E80">
        <v>0</v>
      </c>
      <c r="F80">
        <v>0</v>
      </c>
      <c r="G80">
        <v>33.349710432653602</v>
      </c>
      <c r="H80">
        <v>120.97305122751</v>
      </c>
      <c r="I80">
        <v>1.35846038492595</v>
      </c>
      <c r="J80">
        <v>1.3585421302835701</v>
      </c>
      <c r="K80">
        <v>137.08382162448899</v>
      </c>
      <c r="L80">
        <v>-489.40115578296599</v>
      </c>
      <c r="M80">
        <v>0.02</v>
      </c>
      <c r="N80">
        <v>7.7804128762174898</v>
      </c>
      <c r="O80">
        <v>270.379254072165</v>
      </c>
      <c r="P80">
        <v>9.28831616301078</v>
      </c>
    </row>
    <row r="81" spans="1:16" ht="16" customHeight="1" x14ac:dyDescent="0.2">
      <c r="A81">
        <v>40</v>
      </c>
      <c r="B81">
        <v>10</v>
      </c>
      <c r="C81">
        <v>20</v>
      </c>
      <c r="D81">
        <v>0.5</v>
      </c>
      <c r="E81">
        <v>0</v>
      </c>
      <c r="F81">
        <v>0</v>
      </c>
      <c r="G81">
        <v>33.349710432653602</v>
      </c>
      <c r="H81">
        <v>120.97305122751</v>
      </c>
      <c r="I81">
        <v>1.35846038492595</v>
      </c>
      <c r="J81">
        <v>1.3585421302835701</v>
      </c>
      <c r="K81">
        <v>137.08382162448899</v>
      </c>
      <c r="L81">
        <v>-489.40115578296599</v>
      </c>
      <c r="M81">
        <v>0.03</v>
      </c>
      <c r="N81">
        <v>4.2856982503792302</v>
      </c>
      <c r="O81">
        <v>270.379254072165</v>
      </c>
      <c r="P81">
        <v>5.7044082038300097</v>
      </c>
    </row>
    <row r="82" spans="1:16" ht="16" customHeight="1" x14ac:dyDescent="0.2">
      <c r="A82">
        <v>40</v>
      </c>
      <c r="B82">
        <v>10</v>
      </c>
      <c r="C82">
        <v>20</v>
      </c>
      <c r="D82">
        <v>0.5</v>
      </c>
      <c r="E82">
        <v>0</v>
      </c>
      <c r="F82">
        <v>0</v>
      </c>
      <c r="G82">
        <v>33.349710432653602</v>
      </c>
      <c r="H82">
        <v>120.97305122751</v>
      </c>
      <c r="I82">
        <v>1.35846038492595</v>
      </c>
      <c r="J82">
        <v>1.3585421302835701</v>
      </c>
      <c r="K82">
        <v>137.08382162448899</v>
      </c>
      <c r="L82">
        <v>-489.40115578296599</v>
      </c>
      <c r="M82">
        <v>3.5000000000000003E-2</v>
      </c>
      <c r="N82">
        <v>3.2327379926822002</v>
      </c>
      <c r="O82">
        <v>270.379254072165</v>
      </c>
      <c r="P82">
        <v>4.5487395568458302</v>
      </c>
    </row>
    <row r="83" spans="1:16" ht="16" customHeight="1" x14ac:dyDescent="0.2">
      <c r="A83">
        <v>40</v>
      </c>
      <c r="B83">
        <v>10</v>
      </c>
      <c r="C83">
        <v>20</v>
      </c>
      <c r="D83">
        <v>0.5</v>
      </c>
      <c r="E83">
        <v>0</v>
      </c>
      <c r="F83">
        <v>0</v>
      </c>
      <c r="G83">
        <v>33.349710432653602</v>
      </c>
      <c r="H83">
        <v>120.97305122751</v>
      </c>
      <c r="I83">
        <v>1.35846038492595</v>
      </c>
      <c r="J83">
        <v>1.3585421302835701</v>
      </c>
      <c r="K83">
        <v>137.08382162448899</v>
      </c>
      <c r="L83">
        <v>-489.40115578296599</v>
      </c>
      <c r="M83">
        <v>0.04</v>
      </c>
      <c r="N83">
        <v>2.4629156688385101</v>
      </c>
      <c r="O83">
        <v>270.379254072165</v>
      </c>
      <c r="P83">
        <v>3.6656835243407402</v>
      </c>
    </row>
    <row r="84" spans="1:16" ht="16" customHeight="1" x14ac:dyDescent="0.2">
      <c r="A84">
        <v>40</v>
      </c>
      <c r="B84">
        <v>10</v>
      </c>
      <c r="C84">
        <v>20</v>
      </c>
      <c r="D84">
        <v>0.5</v>
      </c>
      <c r="E84">
        <v>0</v>
      </c>
      <c r="F84">
        <v>0</v>
      </c>
      <c r="G84">
        <v>33.349710432653602</v>
      </c>
      <c r="H84">
        <v>120.97305122751</v>
      </c>
      <c r="I84">
        <v>1.35846038492595</v>
      </c>
      <c r="J84">
        <v>1.3585421302835701</v>
      </c>
      <c r="K84">
        <v>137.08382162448899</v>
      </c>
      <c r="L84">
        <v>-489.40115578296599</v>
      </c>
      <c r="M84">
        <v>0.05</v>
      </c>
      <c r="N84">
        <v>1.46840233926349</v>
      </c>
      <c r="O84">
        <v>270.379254072165</v>
      </c>
      <c r="P84">
        <v>2.44948523042821</v>
      </c>
    </row>
    <row r="85" spans="1:16" ht="16" customHeight="1" x14ac:dyDescent="0.2">
      <c r="A85">
        <v>40</v>
      </c>
      <c r="B85">
        <v>10</v>
      </c>
      <c r="C85">
        <v>20</v>
      </c>
      <c r="D85">
        <v>0.5</v>
      </c>
      <c r="E85">
        <v>0</v>
      </c>
      <c r="F85">
        <v>0</v>
      </c>
      <c r="G85">
        <v>33.349710432653602</v>
      </c>
      <c r="H85">
        <v>120.97305122751</v>
      </c>
      <c r="I85">
        <v>1.35846038492595</v>
      </c>
      <c r="J85">
        <v>1.3585421302835701</v>
      </c>
      <c r="K85">
        <v>137.08382162448899</v>
      </c>
      <c r="L85">
        <v>-489.40115578296599</v>
      </c>
      <c r="M85">
        <v>0.06</v>
      </c>
      <c r="N85">
        <v>0.90195530527284895</v>
      </c>
      <c r="O85">
        <v>270.379254072165</v>
      </c>
      <c r="P85">
        <v>1.6918435898809601</v>
      </c>
    </row>
    <row r="86" spans="1:16" ht="16" customHeight="1" x14ac:dyDescent="0.2">
      <c r="A86">
        <v>40</v>
      </c>
      <c r="B86">
        <v>10</v>
      </c>
      <c r="C86">
        <v>20</v>
      </c>
      <c r="D86">
        <v>0</v>
      </c>
      <c r="E86">
        <v>0.5</v>
      </c>
      <c r="F86">
        <v>0</v>
      </c>
      <c r="G86">
        <v>0</v>
      </c>
      <c r="H86">
        <v>0</v>
      </c>
      <c r="I86">
        <v>0</v>
      </c>
      <c r="J86">
        <v>0</v>
      </c>
      <c r="K86">
        <v>252.272534999501</v>
      </c>
      <c r="L86">
        <v>875.24087921875696</v>
      </c>
      <c r="M86">
        <v>0.01</v>
      </c>
      <c r="N86">
        <v>18.965714194031001</v>
      </c>
      <c r="O86">
        <v>0</v>
      </c>
      <c r="P86">
        <v>0</v>
      </c>
    </row>
    <row r="87" spans="1:16" ht="16" customHeight="1" x14ac:dyDescent="0.2">
      <c r="A87">
        <v>40</v>
      </c>
      <c r="B87">
        <v>10</v>
      </c>
      <c r="C87">
        <v>20</v>
      </c>
      <c r="D87">
        <v>0</v>
      </c>
      <c r="E87">
        <v>0.5</v>
      </c>
      <c r="F87">
        <v>0</v>
      </c>
      <c r="G87">
        <v>0</v>
      </c>
      <c r="H87">
        <v>0</v>
      </c>
      <c r="I87">
        <v>0</v>
      </c>
      <c r="J87">
        <v>0</v>
      </c>
      <c r="K87">
        <v>252.272534999501</v>
      </c>
      <c r="L87">
        <v>875.24087921875696</v>
      </c>
      <c r="M87">
        <v>0.02</v>
      </c>
      <c r="N87">
        <v>10.5884974297272</v>
      </c>
      <c r="O87">
        <v>0</v>
      </c>
      <c r="P87">
        <v>0</v>
      </c>
    </row>
    <row r="88" spans="1:16" ht="16" customHeight="1" x14ac:dyDescent="0.2">
      <c r="A88">
        <v>40</v>
      </c>
      <c r="B88">
        <v>10</v>
      </c>
      <c r="C88">
        <v>20</v>
      </c>
      <c r="D88">
        <v>0</v>
      </c>
      <c r="E88">
        <v>0.5</v>
      </c>
      <c r="F88">
        <v>0</v>
      </c>
      <c r="G88">
        <v>0</v>
      </c>
      <c r="H88">
        <v>0</v>
      </c>
      <c r="I88">
        <v>0</v>
      </c>
      <c r="J88">
        <v>0</v>
      </c>
      <c r="K88">
        <v>252.272534999501</v>
      </c>
      <c r="L88">
        <v>875.24087921875696</v>
      </c>
      <c r="M88">
        <v>0.03</v>
      </c>
      <c r="N88">
        <v>6.2711039682546401</v>
      </c>
      <c r="O88">
        <v>0</v>
      </c>
      <c r="P88">
        <v>0</v>
      </c>
    </row>
    <row r="89" spans="1:16" ht="16" customHeight="1" x14ac:dyDescent="0.2">
      <c r="A89">
        <v>40</v>
      </c>
      <c r="B89">
        <v>10</v>
      </c>
      <c r="C89">
        <v>20</v>
      </c>
      <c r="D89">
        <v>0</v>
      </c>
      <c r="E89">
        <v>0.5</v>
      </c>
      <c r="F89">
        <v>0</v>
      </c>
      <c r="G89">
        <v>0</v>
      </c>
      <c r="H89">
        <v>0</v>
      </c>
      <c r="I89">
        <v>0</v>
      </c>
      <c r="J89">
        <v>0</v>
      </c>
      <c r="K89">
        <v>252.272534999501</v>
      </c>
      <c r="L89">
        <v>875.24087921875696</v>
      </c>
      <c r="M89">
        <v>3.5000000000000003E-2</v>
      </c>
      <c r="N89">
        <v>4.9267698227467198</v>
      </c>
      <c r="O89">
        <v>0</v>
      </c>
      <c r="P89">
        <v>0</v>
      </c>
    </row>
    <row r="90" spans="1:16" ht="16" customHeight="1" x14ac:dyDescent="0.2">
      <c r="A90">
        <v>40</v>
      </c>
      <c r="B90">
        <v>10</v>
      </c>
      <c r="C90">
        <v>20</v>
      </c>
      <c r="D90">
        <v>0</v>
      </c>
      <c r="E90">
        <v>0.5</v>
      </c>
      <c r="F90">
        <v>0</v>
      </c>
      <c r="G90">
        <v>0</v>
      </c>
      <c r="H90">
        <v>0</v>
      </c>
      <c r="I90">
        <v>0</v>
      </c>
      <c r="J90">
        <v>0</v>
      </c>
      <c r="K90">
        <v>252.272534999501</v>
      </c>
      <c r="L90">
        <v>875.24087921875696</v>
      </c>
      <c r="M90">
        <v>0.04</v>
      </c>
      <c r="N90">
        <v>3.9198408204564901</v>
      </c>
      <c r="O90">
        <v>0</v>
      </c>
      <c r="P90">
        <v>0</v>
      </c>
    </row>
    <row r="91" spans="1:16" ht="16" customHeight="1" x14ac:dyDescent="0.2">
      <c r="A91">
        <v>40</v>
      </c>
      <c r="B91">
        <v>10</v>
      </c>
      <c r="C91">
        <v>20</v>
      </c>
      <c r="D91">
        <v>0</v>
      </c>
      <c r="E91">
        <v>0.5</v>
      </c>
      <c r="F91">
        <v>0</v>
      </c>
      <c r="G91">
        <v>0</v>
      </c>
      <c r="H91">
        <v>0</v>
      </c>
      <c r="I91">
        <v>0</v>
      </c>
      <c r="J91">
        <v>0</v>
      </c>
      <c r="K91">
        <v>252.272534999501</v>
      </c>
      <c r="L91">
        <v>875.24087921875696</v>
      </c>
      <c r="M91">
        <v>0.05</v>
      </c>
      <c r="N91">
        <v>2.5671063445014601</v>
      </c>
      <c r="O91">
        <v>0</v>
      </c>
      <c r="P91">
        <v>0</v>
      </c>
    </row>
    <row r="92" spans="1:16" ht="16" customHeight="1" x14ac:dyDescent="0.2">
      <c r="A92">
        <v>40</v>
      </c>
      <c r="B92">
        <v>10</v>
      </c>
      <c r="C92">
        <v>20</v>
      </c>
      <c r="D92">
        <v>0</v>
      </c>
      <c r="E92">
        <v>0.5</v>
      </c>
      <c r="F92">
        <v>0</v>
      </c>
      <c r="G92">
        <v>0</v>
      </c>
      <c r="H92">
        <v>0</v>
      </c>
      <c r="I92">
        <v>0</v>
      </c>
      <c r="J92">
        <v>0</v>
      </c>
      <c r="K92">
        <v>252.272534999501</v>
      </c>
      <c r="L92">
        <v>875.24087921875696</v>
      </c>
      <c r="M92">
        <v>0.06</v>
      </c>
      <c r="N92">
        <v>1.7472736167360201</v>
      </c>
      <c r="O92">
        <v>0</v>
      </c>
      <c r="P92">
        <v>0</v>
      </c>
    </row>
    <row r="93" spans="1:16" ht="16" customHeight="1" x14ac:dyDescent="0.2">
      <c r="A93">
        <v>40</v>
      </c>
      <c r="B93">
        <v>10</v>
      </c>
      <c r="C93">
        <v>20</v>
      </c>
      <c r="D93">
        <v>0</v>
      </c>
      <c r="E93">
        <v>0</v>
      </c>
      <c r="F93">
        <v>0.5</v>
      </c>
      <c r="G93">
        <v>0.53188376375078805</v>
      </c>
      <c r="H93">
        <v>42.955921771151203</v>
      </c>
      <c r="I93">
        <v>0</v>
      </c>
      <c r="J93">
        <v>0.36463356013707798</v>
      </c>
      <c r="K93">
        <v>-20.679366642440598</v>
      </c>
      <c r="L93">
        <v>-89.294844877899195</v>
      </c>
      <c r="M93">
        <v>0.01</v>
      </c>
      <c r="N93">
        <v>18.455579353976599</v>
      </c>
      <c r="O93">
        <v>102.212103213852</v>
      </c>
      <c r="P93">
        <v>18.561491566489298</v>
      </c>
    </row>
    <row r="94" spans="1:16" ht="16" customHeight="1" x14ac:dyDescent="0.2">
      <c r="A94">
        <v>40</v>
      </c>
      <c r="B94">
        <v>10</v>
      </c>
      <c r="C94">
        <v>20</v>
      </c>
      <c r="D94">
        <v>0</v>
      </c>
      <c r="E94">
        <v>0</v>
      </c>
      <c r="F94">
        <v>0.5</v>
      </c>
      <c r="G94">
        <v>0.53188376375078805</v>
      </c>
      <c r="H94">
        <v>42.955921771151203</v>
      </c>
      <c r="I94">
        <v>0</v>
      </c>
      <c r="J94">
        <v>0.36463356013707798</v>
      </c>
      <c r="K94">
        <v>-20.679366642440598</v>
      </c>
      <c r="L94">
        <v>-89.294844877899195</v>
      </c>
      <c r="M94">
        <v>0.02</v>
      </c>
      <c r="N94">
        <v>8.0304029647685393</v>
      </c>
      <c r="O94">
        <v>102.212103213852</v>
      </c>
      <c r="P94">
        <v>9.3078293966789705</v>
      </c>
    </row>
    <row r="95" spans="1:16" ht="16" customHeight="1" x14ac:dyDescent="0.2">
      <c r="A95">
        <v>40</v>
      </c>
      <c r="B95">
        <v>10</v>
      </c>
      <c r="C95">
        <v>20</v>
      </c>
      <c r="D95">
        <v>0</v>
      </c>
      <c r="E95">
        <v>0</v>
      </c>
      <c r="F95">
        <v>0.5</v>
      </c>
      <c r="G95">
        <v>0.53188376375078805</v>
      </c>
      <c r="H95">
        <v>42.955921771151203</v>
      </c>
      <c r="I95">
        <v>0</v>
      </c>
      <c r="J95">
        <v>0.36463356013707798</v>
      </c>
      <c r="K95">
        <v>-20.679366642440598</v>
      </c>
      <c r="L95">
        <v>-89.294844877899195</v>
      </c>
      <c r="M95">
        <v>0.03</v>
      </c>
      <c r="N95">
        <v>3.5444920946854901</v>
      </c>
      <c r="O95">
        <v>102.212103213852</v>
      </c>
      <c r="P95">
        <v>4.9013255459115497</v>
      </c>
    </row>
    <row r="96" spans="1:16" ht="16" customHeight="1" x14ac:dyDescent="0.2">
      <c r="A96">
        <v>40</v>
      </c>
      <c r="B96">
        <v>10</v>
      </c>
      <c r="C96">
        <v>20</v>
      </c>
      <c r="D96">
        <v>0</v>
      </c>
      <c r="E96">
        <v>0</v>
      </c>
      <c r="F96">
        <v>0.5</v>
      </c>
      <c r="G96">
        <v>0.53188376375078805</v>
      </c>
      <c r="H96">
        <v>42.955921771151203</v>
      </c>
      <c r="I96">
        <v>0</v>
      </c>
      <c r="J96">
        <v>0.36463356013707798</v>
      </c>
      <c r="K96">
        <v>-20.679366642440598</v>
      </c>
      <c r="L96">
        <v>-89.294844877899195</v>
      </c>
      <c r="M96">
        <v>3.5000000000000003E-2</v>
      </c>
      <c r="N96">
        <v>2.3629062006974602</v>
      </c>
      <c r="O96">
        <v>102.212103213852</v>
      </c>
      <c r="P96">
        <v>3.6239468268945498</v>
      </c>
    </row>
    <row r="97" spans="1:16" ht="16" customHeight="1" x14ac:dyDescent="0.2">
      <c r="A97">
        <v>40</v>
      </c>
      <c r="B97">
        <v>10</v>
      </c>
      <c r="C97">
        <v>20</v>
      </c>
      <c r="D97">
        <v>0</v>
      </c>
      <c r="E97">
        <v>0</v>
      </c>
      <c r="F97">
        <v>0.5</v>
      </c>
      <c r="G97">
        <v>0.53188376375078805</v>
      </c>
      <c r="H97">
        <v>42.955921771151203</v>
      </c>
      <c r="I97">
        <v>0</v>
      </c>
      <c r="J97">
        <v>0.36463356013707798</v>
      </c>
      <c r="K97">
        <v>-20.679366642440598</v>
      </c>
      <c r="L97">
        <v>-89.294844877899195</v>
      </c>
      <c r="M97">
        <v>0.04</v>
      </c>
      <c r="N97">
        <v>1.5761993961351199</v>
      </c>
      <c r="O97">
        <v>102.212103213852</v>
      </c>
      <c r="P97">
        <v>2.7131060654000798</v>
      </c>
    </row>
    <row r="98" spans="1:16" ht="16" customHeight="1" x14ac:dyDescent="0.2">
      <c r="A98">
        <v>40</v>
      </c>
      <c r="B98">
        <v>10</v>
      </c>
      <c r="C98">
        <v>20</v>
      </c>
      <c r="D98">
        <v>0</v>
      </c>
      <c r="E98">
        <v>0</v>
      </c>
      <c r="F98">
        <v>0.5</v>
      </c>
      <c r="G98">
        <v>0.53188376375078805</v>
      </c>
      <c r="H98">
        <v>42.955921771151203</v>
      </c>
      <c r="I98">
        <v>0</v>
      </c>
      <c r="J98">
        <v>0.36463356013707798</v>
      </c>
      <c r="K98">
        <v>-20.679366642440598</v>
      </c>
      <c r="L98">
        <v>-89.294844877899195</v>
      </c>
      <c r="M98">
        <v>0.05</v>
      </c>
      <c r="N98">
        <v>0.69700437039095897</v>
      </c>
      <c r="O98">
        <v>102.212103213852</v>
      </c>
      <c r="P98">
        <v>1.5774429151528899</v>
      </c>
    </row>
    <row r="99" spans="1:16" ht="16" customHeight="1" x14ac:dyDescent="0.2">
      <c r="A99">
        <v>40</v>
      </c>
      <c r="B99">
        <v>10</v>
      </c>
      <c r="C99">
        <v>20</v>
      </c>
      <c r="D99">
        <v>0</v>
      </c>
      <c r="E99">
        <v>0</v>
      </c>
      <c r="F99">
        <v>0.5</v>
      </c>
      <c r="G99">
        <v>0.53188376375078805</v>
      </c>
      <c r="H99">
        <v>42.955921771151203</v>
      </c>
      <c r="I99">
        <v>0</v>
      </c>
      <c r="J99">
        <v>0.36463356013707798</v>
      </c>
      <c r="K99">
        <v>-20.679366642440598</v>
      </c>
      <c r="L99">
        <v>-89.294844877899195</v>
      </c>
      <c r="M99">
        <v>0.06</v>
      </c>
      <c r="N99">
        <v>0.29851684235439901</v>
      </c>
      <c r="O99">
        <v>102.212103213852</v>
      </c>
      <c r="P99">
        <v>0.96082172965125401</v>
      </c>
    </row>
    <row r="100" spans="1:16" ht="16" customHeight="1" x14ac:dyDescent="0.2">
      <c r="A100">
        <v>40</v>
      </c>
      <c r="B100">
        <v>10</v>
      </c>
      <c r="C100">
        <v>20</v>
      </c>
      <c r="D100">
        <v>0.5</v>
      </c>
      <c r="E100">
        <v>0.5</v>
      </c>
      <c r="F100">
        <v>0.5</v>
      </c>
      <c r="G100">
        <v>33.8816074535128</v>
      </c>
      <c r="H100">
        <v>163.93889673725499</v>
      </c>
      <c r="I100">
        <v>1.35846038492595</v>
      </c>
      <c r="J100">
        <v>1.72319945071075</v>
      </c>
      <c r="K100">
        <v>408.38261914938897</v>
      </c>
      <c r="L100">
        <v>425.38878991115899</v>
      </c>
      <c r="M100">
        <v>0.01</v>
      </c>
      <c r="N100">
        <v>53.272382602515599</v>
      </c>
      <c r="O100">
        <v>372.59982812247699</v>
      </c>
      <c r="P100">
        <v>34.485940843342298</v>
      </c>
    </row>
    <row r="101" spans="1:16" ht="16" customHeight="1" x14ac:dyDescent="0.2">
      <c r="A101">
        <v>40</v>
      </c>
      <c r="B101">
        <v>10</v>
      </c>
      <c r="C101">
        <v>20</v>
      </c>
      <c r="D101">
        <v>0.5</v>
      </c>
      <c r="E101">
        <v>0.5</v>
      </c>
      <c r="F101">
        <v>0.5</v>
      </c>
      <c r="G101">
        <v>33.8816074535128</v>
      </c>
      <c r="H101">
        <v>163.93889673725499</v>
      </c>
      <c r="I101">
        <v>1.35846038492595</v>
      </c>
      <c r="J101">
        <v>1.72319945071075</v>
      </c>
      <c r="K101">
        <v>408.38261914938897</v>
      </c>
      <c r="L101">
        <v>425.38878991115899</v>
      </c>
      <c r="M101">
        <v>0.02</v>
      </c>
      <c r="N101">
        <v>27.101816960754999</v>
      </c>
      <c r="O101">
        <v>372.59982812247699</v>
      </c>
      <c r="P101">
        <v>18.600591140613801</v>
      </c>
    </row>
    <row r="102" spans="1:16" ht="16" customHeight="1" x14ac:dyDescent="0.2">
      <c r="A102">
        <v>40</v>
      </c>
      <c r="B102">
        <v>10</v>
      </c>
      <c r="C102">
        <v>20</v>
      </c>
      <c r="D102">
        <v>0.5</v>
      </c>
      <c r="E102">
        <v>0.5</v>
      </c>
      <c r="F102">
        <v>0.5</v>
      </c>
      <c r="G102">
        <v>33.8816074535128</v>
      </c>
      <c r="H102">
        <v>163.93889673725499</v>
      </c>
      <c r="I102">
        <v>1.35846038492595</v>
      </c>
      <c r="J102">
        <v>1.72319945071075</v>
      </c>
      <c r="K102">
        <v>408.38261914938897</v>
      </c>
      <c r="L102">
        <v>425.38878991115899</v>
      </c>
      <c r="M102">
        <v>0.03</v>
      </c>
      <c r="N102">
        <v>14.5866339374174</v>
      </c>
      <c r="O102">
        <v>372.59982812247699</v>
      </c>
      <c r="P102">
        <v>10.6076744890255</v>
      </c>
    </row>
    <row r="103" spans="1:16" ht="16" customHeight="1" x14ac:dyDescent="0.2">
      <c r="A103">
        <v>40</v>
      </c>
      <c r="B103">
        <v>10</v>
      </c>
      <c r="C103">
        <v>20</v>
      </c>
      <c r="D103">
        <v>0.5</v>
      </c>
      <c r="E103">
        <v>0.5</v>
      </c>
      <c r="F103">
        <v>0.5</v>
      </c>
      <c r="G103">
        <v>33.8816074535128</v>
      </c>
      <c r="H103">
        <v>163.93889673725499</v>
      </c>
      <c r="I103">
        <v>1.35846038492595</v>
      </c>
      <c r="J103">
        <v>1.72319945071075</v>
      </c>
      <c r="K103">
        <v>408.38261914938897</v>
      </c>
      <c r="L103">
        <v>425.38878991115899</v>
      </c>
      <c r="M103">
        <v>3.5000000000000003E-2</v>
      </c>
      <c r="N103">
        <v>10.930641608461499</v>
      </c>
      <c r="O103">
        <v>372.59982812247699</v>
      </c>
      <c r="P103">
        <v>8.1739841427739108</v>
      </c>
    </row>
    <row r="104" spans="1:16" ht="16" customHeight="1" x14ac:dyDescent="0.2">
      <c r="A104">
        <v>40</v>
      </c>
      <c r="B104">
        <v>10</v>
      </c>
      <c r="C104">
        <v>20</v>
      </c>
      <c r="D104">
        <v>0.5</v>
      </c>
      <c r="E104">
        <v>0.5</v>
      </c>
      <c r="F104">
        <v>0.5</v>
      </c>
      <c r="G104">
        <v>33.8816074535128</v>
      </c>
      <c r="H104">
        <v>163.93889673725499</v>
      </c>
      <c r="I104">
        <v>1.35846038492595</v>
      </c>
      <c r="J104">
        <v>1.72319945071075</v>
      </c>
      <c r="K104">
        <v>408.38261914938897</v>
      </c>
      <c r="L104">
        <v>425.38878991115899</v>
      </c>
      <c r="M104">
        <v>0.04</v>
      </c>
      <c r="N104">
        <v>8.3045242559755899</v>
      </c>
      <c r="O104">
        <v>372.59982812247699</v>
      </c>
      <c r="P104">
        <v>6.3796651658583601</v>
      </c>
    </row>
    <row r="105" spans="1:16" ht="16" customHeight="1" x14ac:dyDescent="0.2">
      <c r="A105">
        <v>40</v>
      </c>
      <c r="B105">
        <v>10</v>
      </c>
      <c r="C105">
        <v>20</v>
      </c>
      <c r="D105">
        <v>0.5</v>
      </c>
      <c r="E105">
        <v>0.5</v>
      </c>
      <c r="F105">
        <v>0.5</v>
      </c>
      <c r="G105">
        <v>33.8816074535128</v>
      </c>
      <c r="H105">
        <v>163.93889673725499</v>
      </c>
      <c r="I105">
        <v>1.35846038492595</v>
      </c>
      <c r="J105">
        <v>1.72319945071075</v>
      </c>
      <c r="K105">
        <v>408.38261914938897</v>
      </c>
      <c r="L105">
        <v>425.38878991115899</v>
      </c>
      <c r="M105">
        <v>0.05</v>
      </c>
      <c r="N105">
        <v>4.9840289031542904</v>
      </c>
      <c r="O105">
        <v>372.59982812247699</v>
      </c>
      <c r="P105">
        <v>4.0273387911421201</v>
      </c>
    </row>
    <row r="106" spans="1:16" ht="16" customHeight="1" x14ac:dyDescent="0.2">
      <c r="A106">
        <v>40</v>
      </c>
      <c r="B106">
        <v>10</v>
      </c>
      <c r="C106">
        <v>20</v>
      </c>
      <c r="D106">
        <v>0.5</v>
      </c>
      <c r="E106">
        <v>0.5</v>
      </c>
      <c r="F106">
        <v>0.5</v>
      </c>
      <c r="G106">
        <v>33.8816074535128</v>
      </c>
      <c r="H106">
        <v>163.93889673725499</v>
      </c>
      <c r="I106">
        <v>1.35846038492595</v>
      </c>
      <c r="J106">
        <v>1.72319945071075</v>
      </c>
      <c r="K106">
        <v>408.38261914938897</v>
      </c>
      <c r="L106">
        <v>425.38878991115899</v>
      </c>
      <c r="M106">
        <v>0.06</v>
      </c>
      <c r="N106">
        <v>3.1337864703144902</v>
      </c>
      <c r="O106">
        <v>372.59982812247699</v>
      </c>
      <c r="P106">
        <v>2.6528668349946498</v>
      </c>
    </row>
    <row r="107" spans="1:16" ht="16" customHeight="1" x14ac:dyDescent="0.2">
      <c r="A107">
        <v>40</v>
      </c>
      <c r="B107">
        <v>10</v>
      </c>
      <c r="C107">
        <v>20</v>
      </c>
      <c r="D107">
        <v>2.5</v>
      </c>
      <c r="E107">
        <v>0</v>
      </c>
      <c r="F107">
        <v>0</v>
      </c>
      <c r="G107">
        <v>162.52688124970001</v>
      </c>
      <c r="H107">
        <v>599.34661167008198</v>
      </c>
      <c r="I107">
        <v>6.4731129770692997</v>
      </c>
      <c r="J107">
        <v>6.4734666401878798</v>
      </c>
      <c r="K107">
        <v>708.71322606849299</v>
      </c>
      <c r="L107">
        <v>-2209.7262974824698</v>
      </c>
      <c r="M107">
        <v>0.01</v>
      </c>
      <c r="N107">
        <v>71.894388226259096</v>
      </c>
      <c r="O107">
        <v>1318.9294994981301</v>
      </c>
      <c r="P107">
        <v>78.976565476298802</v>
      </c>
    </row>
    <row r="108" spans="1:16" ht="16" customHeight="1" x14ac:dyDescent="0.2">
      <c r="A108">
        <v>40</v>
      </c>
      <c r="B108">
        <v>10</v>
      </c>
      <c r="C108">
        <v>20</v>
      </c>
      <c r="D108">
        <v>2.5</v>
      </c>
      <c r="E108">
        <v>0</v>
      </c>
      <c r="F108">
        <v>0</v>
      </c>
      <c r="G108">
        <v>162.52688124970001</v>
      </c>
      <c r="H108">
        <v>599.34661167008198</v>
      </c>
      <c r="I108">
        <v>6.4731129770692997</v>
      </c>
      <c r="J108">
        <v>6.4734666401878798</v>
      </c>
      <c r="K108">
        <v>708.71322606849299</v>
      </c>
      <c r="L108">
        <v>-2209.7262974824698</v>
      </c>
      <c r="M108">
        <v>0.02</v>
      </c>
      <c r="N108">
        <v>38.0344372561485</v>
      </c>
      <c r="O108">
        <v>1318.9294994981301</v>
      </c>
      <c r="P108">
        <v>45.9407366179991</v>
      </c>
    </row>
    <row r="109" spans="1:16" ht="16" customHeight="1" x14ac:dyDescent="0.2">
      <c r="A109">
        <v>40</v>
      </c>
      <c r="B109">
        <v>10</v>
      </c>
      <c r="C109">
        <v>20</v>
      </c>
      <c r="D109">
        <v>2.5</v>
      </c>
      <c r="E109">
        <v>0</v>
      </c>
      <c r="F109">
        <v>0</v>
      </c>
      <c r="G109">
        <v>162.52688124970001</v>
      </c>
      <c r="H109">
        <v>599.34661167008198</v>
      </c>
      <c r="I109">
        <v>6.4731129770692997</v>
      </c>
      <c r="J109">
        <v>6.4734666401878798</v>
      </c>
      <c r="K109">
        <v>708.71322606849299</v>
      </c>
      <c r="L109">
        <v>-2209.7262974824698</v>
      </c>
      <c r="M109">
        <v>0.03</v>
      </c>
      <c r="N109">
        <v>21.111180481530901</v>
      </c>
      <c r="O109">
        <v>1318.9294994981301</v>
      </c>
      <c r="P109">
        <v>28.113222689504699</v>
      </c>
    </row>
    <row r="110" spans="1:16" ht="16" customHeight="1" x14ac:dyDescent="0.2">
      <c r="A110">
        <v>40</v>
      </c>
      <c r="B110">
        <v>10</v>
      </c>
      <c r="C110">
        <v>20</v>
      </c>
      <c r="D110">
        <v>2.5</v>
      </c>
      <c r="E110">
        <v>0</v>
      </c>
      <c r="F110">
        <v>0</v>
      </c>
      <c r="G110">
        <v>162.52688124970001</v>
      </c>
      <c r="H110">
        <v>599.34661167008198</v>
      </c>
      <c r="I110">
        <v>6.4731129770692997</v>
      </c>
      <c r="J110">
        <v>6.4734666401878798</v>
      </c>
      <c r="K110">
        <v>708.71322606849299</v>
      </c>
      <c r="L110">
        <v>-2209.7262974824698</v>
      </c>
      <c r="M110">
        <v>3.5000000000000003E-2</v>
      </c>
      <c r="N110">
        <v>15.9992682947047</v>
      </c>
      <c r="O110">
        <v>1318.9294994981301</v>
      </c>
      <c r="P110">
        <v>22.376519769811601</v>
      </c>
    </row>
    <row r="111" spans="1:16" ht="16" customHeight="1" x14ac:dyDescent="0.2">
      <c r="A111">
        <v>40</v>
      </c>
      <c r="B111">
        <v>10</v>
      </c>
      <c r="C111">
        <v>20</v>
      </c>
      <c r="D111">
        <v>2.5</v>
      </c>
      <c r="E111">
        <v>0</v>
      </c>
      <c r="F111">
        <v>0</v>
      </c>
      <c r="G111">
        <v>162.52688124970001</v>
      </c>
      <c r="H111">
        <v>599.34661167008198</v>
      </c>
      <c r="I111">
        <v>6.4731129770692997</v>
      </c>
      <c r="J111">
        <v>6.4734666401878798</v>
      </c>
      <c r="K111">
        <v>708.71322606849299</v>
      </c>
      <c r="L111">
        <v>-2209.7262974824698</v>
      </c>
      <c r="M111">
        <v>0.04</v>
      </c>
      <c r="N111">
        <v>12.2552994667279</v>
      </c>
      <c r="O111">
        <v>1318.9294994981301</v>
      </c>
      <c r="P111">
        <v>17.999289091598499</v>
      </c>
    </row>
    <row r="112" spans="1:16" ht="16" customHeight="1" x14ac:dyDescent="0.2">
      <c r="A112">
        <v>40</v>
      </c>
      <c r="B112">
        <v>10</v>
      </c>
      <c r="C112">
        <v>20</v>
      </c>
      <c r="D112">
        <v>2.5</v>
      </c>
      <c r="E112">
        <v>0</v>
      </c>
      <c r="F112">
        <v>0</v>
      </c>
      <c r="G112">
        <v>162.52688124970001</v>
      </c>
      <c r="H112">
        <v>599.34661167008198</v>
      </c>
      <c r="I112">
        <v>6.4731129770692997</v>
      </c>
      <c r="J112">
        <v>6.4734666401878798</v>
      </c>
      <c r="K112">
        <v>708.71322606849299</v>
      </c>
      <c r="L112">
        <v>-2209.7262974824698</v>
      </c>
      <c r="M112">
        <v>0.05</v>
      </c>
      <c r="N112">
        <v>7.4054439964044096</v>
      </c>
      <c r="O112">
        <v>1318.9294994981301</v>
      </c>
      <c r="P112">
        <v>11.9836221011451</v>
      </c>
    </row>
    <row r="113" spans="1:16" ht="16" customHeight="1" x14ac:dyDescent="0.2">
      <c r="A113">
        <v>40</v>
      </c>
      <c r="B113">
        <v>10</v>
      </c>
      <c r="C113">
        <v>20</v>
      </c>
      <c r="D113">
        <v>2.5</v>
      </c>
      <c r="E113">
        <v>0</v>
      </c>
      <c r="F113">
        <v>0</v>
      </c>
      <c r="G113">
        <v>162.52688124970001</v>
      </c>
      <c r="H113">
        <v>599.34661167008198</v>
      </c>
      <c r="I113">
        <v>6.4731129770692997</v>
      </c>
      <c r="J113">
        <v>6.4734666401878798</v>
      </c>
      <c r="K113">
        <v>708.71322606849299</v>
      </c>
      <c r="L113">
        <v>-2209.7262974824698</v>
      </c>
      <c r="M113">
        <v>0.06</v>
      </c>
      <c r="N113">
        <v>4.6321261077600697</v>
      </c>
      <c r="O113">
        <v>1318.9294994981301</v>
      </c>
      <c r="P113">
        <v>8.2477119533411098</v>
      </c>
    </row>
    <row r="114" spans="1:16" ht="16" customHeight="1" x14ac:dyDescent="0.2">
      <c r="A114">
        <v>40</v>
      </c>
      <c r="B114">
        <v>10</v>
      </c>
      <c r="C114">
        <v>20</v>
      </c>
      <c r="D114">
        <v>0</v>
      </c>
      <c r="E114">
        <v>2.5</v>
      </c>
      <c r="F114">
        <v>0</v>
      </c>
      <c r="G114">
        <v>0</v>
      </c>
      <c r="H114">
        <v>0</v>
      </c>
      <c r="I114">
        <v>0</v>
      </c>
      <c r="J114">
        <v>0</v>
      </c>
      <c r="K114">
        <v>1237.36316206112</v>
      </c>
      <c r="L114">
        <v>4285.7624237643704</v>
      </c>
      <c r="M114">
        <v>0.01</v>
      </c>
      <c r="N114">
        <v>89.199701790547195</v>
      </c>
      <c r="O114">
        <v>0</v>
      </c>
      <c r="P114">
        <v>0</v>
      </c>
    </row>
    <row r="115" spans="1:16" ht="16" customHeight="1" x14ac:dyDescent="0.2">
      <c r="A115">
        <v>40</v>
      </c>
      <c r="B115">
        <v>10</v>
      </c>
      <c r="C115">
        <v>20</v>
      </c>
      <c r="D115">
        <v>0</v>
      </c>
      <c r="E115">
        <v>2.5</v>
      </c>
      <c r="F115">
        <v>0</v>
      </c>
      <c r="G115">
        <v>0</v>
      </c>
      <c r="H115">
        <v>0</v>
      </c>
      <c r="I115">
        <v>0</v>
      </c>
      <c r="J115">
        <v>0</v>
      </c>
      <c r="K115">
        <v>1237.36316206112</v>
      </c>
      <c r="L115">
        <v>4285.7624237643704</v>
      </c>
      <c r="M115">
        <v>0.02</v>
      </c>
      <c r="N115">
        <v>50.007313856165197</v>
      </c>
      <c r="O115">
        <v>0</v>
      </c>
      <c r="P115">
        <v>0</v>
      </c>
    </row>
    <row r="116" spans="1:16" ht="16" customHeight="1" x14ac:dyDescent="0.2">
      <c r="A116">
        <v>40</v>
      </c>
      <c r="B116">
        <v>10</v>
      </c>
      <c r="C116">
        <v>20</v>
      </c>
      <c r="D116">
        <v>0</v>
      </c>
      <c r="E116">
        <v>2.5</v>
      </c>
      <c r="F116">
        <v>0</v>
      </c>
      <c r="G116">
        <v>0</v>
      </c>
      <c r="H116">
        <v>0</v>
      </c>
      <c r="I116">
        <v>0</v>
      </c>
      <c r="J116">
        <v>0</v>
      </c>
      <c r="K116">
        <v>1237.36316206112</v>
      </c>
      <c r="L116">
        <v>4285.7624237643704</v>
      </c>
      <c r="M116">
        <v>0.03</v>
      </c>
      <c r="N116">
        <v>29.743276172530301</v>
      </c>
      <c r="O116">
        <v>0</v>
      </c>
      <c r="P116">
        <v>0</v>
      </c>
    </row>
    <row r="117" spans="1:16" ht="16" customHeight="1" x14ac:dyDescent="0.2">
      <c r="A117">
        <v>40</v>
      </c>
      <c r="B117">
        <v>10</v>
      </c>
      <c r="C117">
        <v>20</v>
      </c>
      <c r="D117">
        <v>0</v>
      </c>
      <c r="E117">
        <v>2.5</v>
      </c>
      <c r="F117">
        <v>0</v>
      </c>
      <c r="G117">
        <v>0</v>
      </c>
      <c r="H117">
        <v>0</v>
      </c>
      <c r="I117">
        <v>0</v>
      </c>
      <c r="J117">
        <v>0</v>
      </c>
      <c r="K117">
        <v>1237.36316206112</v>
      </c>
      <c r="L117">
        <v>4285.7624237643704</v>
      </c>
      <c r="M117">
        <v>3.5000000000000003E-2</v>
      </c>
      <c r="N117">
        <v>23.415304398452299</v>
      </c>
      <c r="O117">
        <v>0</v>
      </c>
      <c r="P117">
        <v>0</v>
      </c>
    </row>
    <row r="118" spans="1:16" ht="16" customHeight="1" x14ac:dyDescent="0.2">
      <c r="A118">
        <v>40</v>
      </c>
      <c r="B118">
        <v>10</v>
      </c>
      <c r="C118">
        <v>20</v>
      </c>
      <c r="D118">
        <v>0</v>
      </c>
      <c r="E118">
        <v>2.5</v>
      </c>
      <c r="F118">
        <v>0</v>
      </c>
      <c r="G118">
        <v>0</v>
      </c>
      <c r="H118">
        <v>0</v>
      </c>
      <c r="I118">
        <v>0</v>
      </c>
      <c r="J118">
        <v>0</v>
      </c>
      <c r="K118">
        <v>1237.36316206112</v>
      </c>
      <c r="L118">
        <v>4285.7624237643704</v>
      </c>
      <c r="M118">
        <v>0.04</v>
      </c>
      <c r="N118">
        <v>18.666303505914001</v>
      </c>
      <c r="O118">
        <v>0</v>
      </c>
      <c r="P118">
        <v>0</v>
      </c>
    </row>
    <row r="119" spans="1:16" ht="16" customHeight="1" x14ac:dyDescent="0.2">
      <c r="A119">
        <v>40</v>
      </c>
      <c r="B119">
        <v>10</v>
      </c>
      <c r="C119">
        <v>20</v>
      </c>
      <c r="D119">
        <v>0</v>
      </c>
      <c r="E119">
        <v>2.5</v>
      </c>
      <c r="F119">
        <v>0</v>
      </c>
      <c r="G119">
        <v>0</v>
      </c>
      <c r="H119">
        <v>0</v>
      </c>
      <c r="I119">
        <v>0</v>
      </c>
      <c r="J119">
        <v>0</v>
      </c>
      <c r="K119">
        <v>1237.36316206112</v>
      </c>
      <c r="L119">
        <v>4285.7624237643704</v>
      </c>
      <c r="M119">
        <v>0.05</v>
      </c>
      <c r="N119">
        <v>12.268056305436801</v>
      </c>
      <c r="O119">
        <v>0</v>
      </c>
      <c r="P119">
        <v>0</v>
      </c>
    </row>
    <row r="120" spans="1:16" ht="16" customHeight="1" x14ac:dyDescent="0.2">
      <c r="A120">
        <v>40</v>
      </c>
      <c r="B120">
        <v>10</v>
      </c>
      <c r="C120">
        <v>20</v>
      </c>
      <c r="D120">
        <v>0</v>
      </c>
      <c r="E120">
        <v>2.5</v>
      </c>
      <c r="F120">
        <v>0</v>
      </c>
      <c r="G120">
        <v>0</v>
      </c>
      <c r="H120">
        <v>0</v>
      </c>
      <c r="I120">
        <v>0</v>
      </c>
      <c r="J120">
        <v>0</v>
      </c>
      <c r="K120">
        <v>1237.36316206112</v>
      </c>
      <c r="L120">
        <v>4285.7624237643704</v>
      </c>
      <c r="M120">
        <v>0.06</v>
      </c>
      <c r="N120">
        <v>8.3749659340724492</v>
      </c>
      <c r="O120">
        <v>0</v>
      </c>
      <c r="P120">
        <v>0</v>
      </c>
    </row>
    <row r="121" spans="1:16" ht="16" customHeight="1" x14ac:dyDescent="0.2">
      <c r="A121">
        <v>40</v>
      </c>
      <c r="B121">
        <v>10</v>
      </c>
      <c r="C121">
        <v>20</v>
      </c>
      <c r="D121">
        <v>0</v>
      </c>
      <c r="E121">
        <v>0</v>
      </c>
      <c r="F121">
        <v>0.6</v>
      </c>
      <c r="G121">
        <v>0.63826051650097304</v>
      </c>
      <c r="H121">
        <v>51.547142886419998</v>
      </c>
      <c r="I121">
        <v>0</v>
      </c>
      <c r="J121">
        <v>0.437560272164497</v>
      </c>
      <c r="K121">
        <v>-21.108349333130501</v>
      </c>
      <c r="L121">
        <v>-94.6546846923884</v>
      </c>
      <c r="M121">
        <v>0.01</v>
      </c>
      <c r="N121">
        <v>22.224029149654701</v>
      </c>
      <c r="O121">
        <v>122.654523856623</v>
      </c>
      <c r="P121">
        <v>22.2816968173669</v>
      </c>
    </row>
    <row r="122" spans="1:16" ht="16" customHeight="1" x14ac:dyDescent="0.2">
      <c r="A122">
        <v>40</v>
      </c>
      <c r="B122">
        <v>10</v>
      </c>
      <c r="C122">
        <v>20</v>
      </c>
      <c r="D122">
        <v>0</v>
      </c>
      <c r="E122">
        <v>0</v>
      </c>
      <c r="F122">
        <v>0.6</v>
      </c>
      <c r="G122">
        <v>0.63826051650097304</v>
      </c>
      <c r="H122">
        <v>51.547142886419998</v>
      </c>
      <c r="I122">
        <v>0</v>
      </c>
      <c r="J122">
        <v>0.437560272164497</v>
      </c>
      <c r="K122">
        <v>-21.108349333130501</v>
      </c>
      <c r="L122">
        <v>-94.6546846923884</v>
      </c>
      <c r="M122">
        <v>0.02</v>
      </c>
      <c r="N122">
        <v>9.6916751740025493</v>
      </c>
      <c r="O122">
        <v>122.654523856623</v>
      </c>
      <c r="P122">
        <v>11.172774729362599</v>
      </c>
    </row>
    <row r="123" spans="1:16" ht="16" customHeight="1" x14ac:dyDescent="0.2">
      <c r="A123">
        <v>40</v>
      </c>
      <c r="B123">
        <v>10</v>
      </c>
      <c r="C123">
        <v>20</v>
      </c>
      <c r="D123">
        <v>0</v>
      </c>
      <c r="E123">
        <v>0</v>
      </c>
      <c r="F123">
        <v>0.6</v>
      </c>
      <c r="G123">
        <v>0.63826051650097304</v>
      </c>
      <c r="H123">
        <v>51.547142886419998</v>
      </c>
      <c r="I123">
        <v>0</v>
      </c>
      <c r="J123">
        <v>0.437560272164497</v>
      </c>
      <c r="K123">
        <v>-21.108349333130501</v>
      </c>
      <c r="L123">
        <v>-94.6546846923884</v>
      </c>
      <c r="M123">
        <v>0.03</v>
      </c>
      <c r="N123">
        <v>4.2936150071205299</v>
      </c>
      <c r="O123">
        <v>122.654523856623</v>
      </c>
      <c r="P123">
        <v>5.8830626371765202</v>
      </c>
    </row>
    <row r="124" spans="1:16" ht="16" customHeight="1" x14ac:dyDescent="0.2">
      <c r="A124">
        <v>40</v>
      </c>
      <c r="B124">
        <v>10</v>
      </c>
      <c r="C124">
        <v>20</v>
      </c>
      <c r="D124">
        <v>0</v>
      </c>
      <c r="E124">
        <v>0</v>
      </c>
      <c r="F124">
        <v>0.6</v>
      </c>
      <c r="G124">
        <v>0.63826051650097304</v>
      </c>
      <c r="H124">
        <v>51.547142886419998</v>
      </c>
      <c r="I124">
        <v>0</v>
      </c>
      <c r="J124">
        <v>0.437560272164497</v>
      </c>
      <c r="K124">
        <v>-21.108349333130501</v>
      </c>
      <c r="L124">
        <v>-94.6546846923884</v>
      </c>
      <c r="M124">
        <v>3.5000000000000003E-2</v>
      </c>
      <c r="N124">
        <v>2.8700373529271102</v>
      </c>
      <c r="O124">
        <v>122.654523856623</v>
      </c>
      <c r="P124">
        <v>4.3497146149655697</v>
      </c>
    </row>
    <row r="125" spans="1:16" ht="16" customHeight="1" x14ac:dyDescent="0.2">
      <c r="A125">
        <v>40</v>
      </c>
      <c r="B125">
        <v>10</v>
      </c>
      <c r="C125">
        <v>20</v>
      </c>
      <c r="D125">
        <v>0</v>
      </c>
      <c r="E125">
        <v>0</v>
      </c>
      <c r="F125">
        <v>0.6</v>
      </c>
      <c r="G125">
        <v>0.63826051650097304</v>
      </c>
      <c r="H125">
        <v>51.547142886419998</v>
      </c>
      <c r="I125">
        <v>0</v>
      </c>
      <c r="J125">
        <v>0.437560272164497</v>
      </c>
      <c r="K125">
        <v>-21.108349333130501</v>
      </c>
      <c r="L125">
        <v>-94.6546846923884</v>
      </c>
      <c r="M125">
        <v>0.04</v>
      </c>
      <c r="N125">
        <v>1.9212161671304799</v>
      </c>
      <c r="O125">
        <v>122.654523856623</v>
      </c>
      <c r="P125">
        <v>3.2563807345419402</v>
      </c>
    </row>
    <row r="126" spans="1:16" ht="16" customHeight="1" x14ac:dyDescent="0.2">
      <c r="A126">
        <v>40</v>
      </c>
      <c r="B126">
        <v>10</v>
      </c>
      <c r="C126">
        <v>20</v>
      </c>
      <c r="D126">
        <v>0</v>
      </c>
      <c r="E126">
        <v>0</v>
      </c>
      <c r="F126">
        <v>0.6</v>
      </c>
      <c r="G126">
        <v>0.63826051650097304</v>
      </c>
      <c r="H126">
        <v>51.547142886419998</v>
      </c>
      <c r="I126">
        <v>0</v>
      </c>
      <c r="J126">
        <v>0.437560272164497</v>
      </c>
      <c r="K126">
        <v>-21.108349333130501</v>
      </c>
      <c r="L126">
        <v>-94.6546846923884</v>
      </c>
      <c r="M126">
        <v>0.05</v>
      </c>
      <c r="N126">
        <v>0.85871800389562603</v>
      </c>
      <c r="O126">
        <v>122.654523856623</v>
      </c>
      <c r="P126">
        <v>1.8932271500237601</v>
      </c>
    </row>
    <row r="127" spans="1:16" ht="16" customHeight="1" x14ac:dyDescent="0.2">
      <c r="A127">
        <v>40</v>
      </c>
      <c r="B127">
        <v>10</v>
      </c>
      <c r="C127">
        <v>20</v>
      </c>
      <c r="D127">
        <v>0</v>
      </c>
      <c r="E127">
        <v>0</v>
      </c>
      <c r="F127">
        <v>0.6</v>
      </c>
      <c r="G127">
        <v>0.63826051650097304</v>
      </c>
      <c r="H127">
        <v>51.547142886419998</v>
      </c>
      <c r="I127">
        <v>0</v>
      </c>
      <c r="J127">
        <v>0.437560272164497</v>
      </c>
      <c r="K127">
        <v>-21.108349333130501</v>
      </c>
      <c r="L127">
        <v>-94.6546846923884</v>
      </c>
      <c r="M127">
        <v>0.06</v>
      </c>
      <c r="N127">
        <v>0.37510714536469902</v>
      </c>
      <c r="O127">
        <v>122.654523856623</v>
      </c>
      <c r="P127">
        <v>1.15312238793259</v>
      </c>
    </row>
    <row r="128" spans="1:16" ht="16" customHeight="1" x14ac:dyDescent="0.2">
      <c r="A128">
        <v>40</v>
      </c>
      <c r="B128">
        <v>10</v>
      </c>
      <c r="C128">
        <v>20</v>
      </c>
      <c r="D128">
        <v>2.5</v>
      </c>
      <c r="E128">
        <v>2.5</v>
      </c>
      <c r="F128">
        <v>0.6</v>
      </c>
      <c r="G128">
        <v>163.16521023089001</v>
      </c>
      <c r="H128">
        <v>650.94591532460004</v>
      </c>
      <c r="I128">
        <v>6.4731129770692997</v>
      </c>
      <c r="J128">
        <v>6.9111497444073802</v>
      </c>
      <c r="K128">
        <v>2027.97280329624</v>
      </c>
      <c r="L128">
        <v>2211.1189680921302</v>
      </c>
      <c r="M128">
        <v>0.01</v>
      </c>
      <c r="N128">
        <v>190.99150225064301</v>
      </c>
      <c r="O128">
        <v>1441.6278025541401</v>
      </c>
      <c r="P128">
        <v>101.31565844468599</v>
      </c>
    </row>
    <row r="129" spans="1:16" ht="16" customHeight="1" x14ac:dyDescent="0.2">
      <c r="A129">
        <v>40</v>
      </c>
      <c r="B129">
        <v>10</v>
      </c>
      <c r="C129">
        <v>20</v>
      </c>
      <c r="D129">
        <v>2.5</v>
      </c>
      <c r="E129">
        <v>2.5</v>
      </c>
      <c r="F129">
        <v>0.6</v>
      </c>
      <c r="G129">
        <v>163.16521023089001</v>
      </c>
      <c r="H129">
        <v>650.94591532460004</v>
      </c>
      <c r="I129">
        <v>6.4731129770692997</v>
      </c>
      <c r="J129">
        <v>6.9111497444073802</v>
      </c>
      <c r="K129">
        <v>2027.97280329624</v>
      </c>
      <c r="L129">
        <v>2211.1189680921302</v>
      </c>
      <c r="M129">
        <v>0.02</v>
      </c>
      <c r="N129">
        <v>101.87192255469</v>
      </c>
      <c r="O129">
        <v>1441.6278025541401</v>
      </c>
      <c r="P129">
        <v>57.137810005067301</v>
      </c>
    </row>
    <row r="130" spans="1:16" ht="16" customHeight="1" x14ac:dyDescent="0.2">
      <c r="A130">
        <v>40</v>
      </c>
      <c r="B130">
        <v>10</v>
      </c>
      <c r="C130">
        <v>20</v>
      </c>
      <c r="D130">
        <v>2.5</v>
      </c>
      <c r="E130">
        <v>2.5</v>
      </c>
      <c r="F130">
        <v>0.6</v>
      </c>
      <c r="G130">
        <v>163.16521023089001</v>
      </c>
      <c r="H130">
        <v>650.94591532460004</v>
      </c>
      <c r="I130">
        <v>6.4731129770692997</v>
      </c>
      <c r="J130">
        <v>6.9111497444073802</v>
      </c>
      <c r="K130">
        <v>2027.97280329624</v>
      </c>
      <c r="L130">
        <v>2211.1189680921302</v>
      </c>
      <c r="M130">
        <v>0.03</v>
      </c>
      <c r="N130">
        <v>57.485239515037499</v>
      </c>
      <c r="O130">
        <v>1441.6278025541401</v>
      </c>
      <c r="P130">
        <v>34.006858073776101</v>
      </c>
    </row>
    <row r="131" spans="1:16" ht="16" customHeight="1" x14ac:dyDescent="0.2">
      <c r="A131">
        <v>40</v>
      </c>
      <c r="B131">
        <v>10</v>
      </c>
      <c r="C131">
        <v>20</v>
      </c>
      <c r="D131">
        <v>2.5</v>
      </c>
      <c r="E131">
        <v>2.5</v>
      </c>
      <c r="F131">
        <v>0.6</v>
      </c>
      <c r="G131">
        <v>163.16521023089001</v>
      </c>
      <c r="H131">
        <v>650.94591532460004</v>
      </c>
      <c r="I131">
        <v>6.4731129770692997</v>
      </c>
      <c r="J131">
        <v>6.9111497444073802</v>
      </c>
      <c r="K131">
        <v>2027.97280329624</v>
      </c>
      <c r="L131">
        <v>2211.1189680921302</v>
      </c>
      <c r="M131">
        <v>3.5000000000000003E-2</v>
      </c>
      <c r="N131">
        <v>44.066130411929798</v>
      </c>
      <c r="O131">
        <v>1441.6278025541401</v>
      </c>
      <c r="P131">
        <v>26.733290714872499</v>
      </c>
    </row>
    <row r="132" spans="1:16" ht="16" customHeight="1" x14ac:dyDescent="0.2">
      <c r="A132">
        <v>40</v>
      </c>
      <c r="B132">
        <v>10</v>
      </c>
      <c r="C132">
        <v>20</v>
      </c>
      <c r="D132">
        <v>2.5</v>
      </c>
      <c r="E132">
        <v>2.5</v>
      </c>
      <c r="F132">
        <v>0.6</v>
      </c>
      <c r="G132">
        <v>163.16521023089001</v>
      </c>
      <c r="H132">
        <v>650.94591532460004</v>
      </c>
      <c r="I132">
        <v>6.4731129770692997</v>
      </c>
      <c r="J132">
        <v>6.9111497444073802</v>
      </c>
      <c r="K132">
        <v>2027.97280329624</v>
      </c>
      <c r="L132">
        <v>2211.1189680921302</v>
      </c>
      <c r="M132">
        <v>0.04</v>
      </c>
      <c r="N132">
        <v>34.210705415632297</v>
      </c>
      <c r="O132">
        <v>1441.6278025541401</v>
      </c>
      <c r="P132">
        <v>21.260420522755702</v>
      </c>
    </row>
    <row r="133" spans="1:16" ht="16" customHeight="1" x14ac:dyDescent="0.2">
      <c r="A133">
        <v>40</v>
      </c>
      <c r="B133">
        <v>10</v>
      </c>
      <c r="C133">
        <v>20</v>
      </c>
      <c r="D133">
        <v>2.5</v>
      </c>
      <c r="E133">
        <v>2.5</v>
      </c>
      <c r="F133">
        <v>0.6</v>
      </c>
      <c r="G133">
        <v>163.16521023089001</v>
      </c>
      <c r="H133">
        <v>650.94591532460004</v>
      </c>
      <c r="I133">
        <v>6.4731129770692997</v>
      </c>
      <c r="J133">
        <v>6.9111497444073802</v>
      </c>
      <c r="K133">
        <v>2027.97280329624</v>
      </c>
      <c r="L133">
        <v>2211.1189680921302</v>
      </c>
      <c r="M133">
        <v>0.05</v>
      </c>
      <c r="N133">
        <v>21.349398235640901</v>
      </c>
      <c r="O133">
        <v>1441.6278025541401</v>
      </c>
      <c r="P133">
        <v>13.8790665555325</v>
      </c>
    </row>
    <row r="134" spans="1:16" ht="16" customHeight="1" x14ac:dyDescent="0.2">
      <c r="A134">
        <v>40</v>
      </c>
      <c r="B134">
        <v>10</v>
      </c>
      <c r="C134">
        <v>20</v>
      </c>
      <c r="D134">
        <v>2.5</v>
      </c>
      <c r="E134">
        <v>2.5</v>
      </c>
      <c r="F134">
        <v>0.6</v>
      </c>
      <c r="G134">
        <v>163.16521023089001</v>
      </c>
      <c r="H134">
        <v>650.94591532460004</v>
      </c>
      <c r="I134">
        <v>6.4731129770692997</v>
      </c>
      <c r="J134">
        <v>6.9111497444073802</v>
      </c>
      <c r="K134">
        <v>2027.97280329624</v>
      </c>
      <c r="L134">
        <v>2211.1189680921302</v>
      </c>
      <c r="M134">
        <v>0.06</v>
      </c>
      <c r="N134">
        <v>13.869792034438399</v>
      </c>
      <c r="O134">
        <v>1441.6278025541401</v>
      </c>
      <c r="P134">
        <v>9.4019163667905001</v>
      </c>
    </row>
    <row r="135" spans="1:16" ht="16" customHeight="1" x14ac:dyDescent="0.2">
      <c r="A135">
        <v>40</v>
      </c>
      <c r="B135">
        <v>10</v>
      </c>
      <c r="C135">
        <v>20</v>
      </c>
      <c r="D135">
        <v>2.52</v>
      </c>
      <c r="E135">
        <v>0</v>
      </c>
      <c r="F135">
        <v>0</v>
      </c>
      <c r="G135">
        <v>163.97265809203699</v>
      </c>
      <c r="H135">
        <v>604.78262393569401</v>
      </c>
      <c r="I135">
        <v>6.5291101622964796</v>
      </c>
      <c r="J135">
        <v>6.5294666553730201</v>
      </c>
      <c r="K135">
        <v>714.84513741596902</v>
      </c>
      <c r="L135">
        <v>-2229.5021794945801</v>
      </c>
      <c r="M135">
        <v>0.01</v>
      </c>
      <c r="N135">
        <v>72.521011840604203</v>
      </c>
      <c r="O135">
        <v>1330.6754249302801</v>
      </c>
      <c r="P135">
        <v>79.694368078769102</v>
      </c>
    </row>
    <row r="136" spans="1:16" ht="16" customHeight="1" x14ac:dyDescent="0.2">
      <c r="A136">
        <v>40</v>
      </c>
      <c r="B136">
        <v>10</v>
      </c>
      <c r="C136">
        <v>20</v>
      </c>
      <c r="D136">
        <v>2.52</v>
      </c>
      <c r="E136">
        <v>0</v>
      </c>
      <c r="F136">
        <v>0</v>
      </c>
      <c r="G136">
        <v>163.97265809203699</v>
      </c>
      <c r="H136">
        <v>604.78262393569401</v>
      </c>
      <c r="I136">
        <v>6.5291101622964796</v>
      </c>
      <c r="J136">
        <v>6.5294666553730201</v>
      </c>
      <c r="K136">
        <v>714.84513741596902</v>
      </c>
      <c r="L136">
        <v>-2229.5021794945801</v>
      </c>
      <c r="M136">
        <v>0.02</v>
      </c>
      <c r="N136">
        <v>38.3664141399925</v>
      </c>
      <c r="O136">
        <v>1330.6754249302801</v>
      </c>
      <c r="P136">
        <v>46.356643701747799</v>
      </c>
    </row>
    <row r="137" spans="1:16" ht="16" customHeight="1" x14ac:dyDescent="0.2">
      <c r="A137">
        <v>40</v>
      </c>
      <c r="B137">
        <v>10</v>
      </c>
      <c r="C137">
        <v>20</v>
      </c>
      <c r="D137">
        <v>2.52</v>
      </c>
      <c r="E137">
        <v>0</v>
      </c>
      <c r="F137">
        <v>0</v>
      </c>
      <c r="G137">
        <v>163.97265809203699</v>
      </c>
      <c r="H137">
        <v>604.78262393569401</v>
      </c>
      <c r="I137">
        <v>6.5291101622964796</v>
      </c>
      <c r="J137">
        <v>6.5294666553730201</v>
      </c>
      <c r="K137">
        <v>714.84513741596902</v>
      </c>
      <c r="L137">
        <v>-2229.5021794945801</v>
      </c>
      <c r="M137">
        <v>0.03</v>
      </c>
      <c r="N137">
        <v>21.295936229869401</v>
      </c>
      <c r="O137">
        <v>1330.6754249302801</v>
      </c>
      <c r="P137">
        <v>28.366662937350998</v>
      </c>
    </row>
    <row r="138" spans="1:16" ht="16" customHeight="1" x14ac:dyDescent="0.2">
      <c r="A138">
        <v>40</v>
      </c>
      <c r="B138">
        <v>10</v>
      </c>
      <c r="C138">
        <v>20</v>
      </c>
      <c r="D138">
        <v>2.52</v>
      </c>
      <c r="E138">
        <v>0</v>
      </c>
      <c r="F138">
        <v>0</v>
      </c>
      <c r="G138">
        <v>163.97265809203699</v>
      </c>
      <c r="H138">
        <v>604.78262393569401</v>
      </c>
      <c r="I138">
        <v>6.5291101622964796</v>
      </c>
      <c r="J138">
        <v>6.5294666553730201</v>
      </c>
      <c r="K138">
        <v>714.84513741596902</v>
      </c>
      <c r="L138">
        <v>-2229.5021794945801</v>
      </c>
      <c r="M138">
        <v>3.5000000000000003E-2</v>
      </c>
      <c r="N138">
        <v>16.139560442064202</v>
      </c>
      <c r="O138">
        <v>1330.6754249302801</v>
      </c>
      <c r="P138">
        <v>22.577807381381</v>
      </c>
    </row>
    <row r="139" spans="1:16" ht="16" customHeight="1" x14ac:dyDescent="0.2">
      <c r="A139">
        <v>40</v>
      </c>
      <c r="B139">
        <v>10</v>
      </c>
      <c r="C139">
        <v>20</v>
      </c>
      <c r="D139">
        <v>2.52</v>
      </c>
      <c r="E139">
        <v>0</v>
      </c>
      <c r="F139">
        <v>0</v>
      </c>
      <c r="G139">
        <v>163.97265809203699</v>
      </c>
      <c r="H139">
        <v>604.78262393569401</v>
      </c>
      <c r="I139">
        <v>6.5291101622964796</v>
      </c>
      <c r="J139">
        <v>6.5294666553730201</v>
      </c>
      <c r="K139">
        <v>714.84513741596902</v>
      </c>
      <c r="L139">
        <v>-2229.5021794945801</v>
      </c>
      <c r="M139">
        <v>0.04</v>
      </c>
      <c r="N139">
        <v>12.363026786467</v>
      </c>
      <c r="O139">
        <v>1330.6754249302801</v>
      </c>
      <c r="P139">
        <v>18.160849359798799</v>
      </c>
    </row>
    <row r="140" spans="1:16" ht="16" customHeight="1" x14ac:dyDescent="0.2">
      <c r="A140">
        <v>40</v>
      </c>
      <c r="B140">
        <v>10</v>
      </c>
      <c r="C140">
        <v>20</v>
      </c>
      <c r="D140">
        <v>2.52</v>
      </c>
      <c r="E140">
        <v>0</v>
      </c>
      <c r="F140">
        <v>0</v>
      </c>
      <c r="G140">
        <v>163.97265809203699</v>
      </c>
      <c r="H140">
        <v>604.78262393569401</v>
      </c>
      <c r="I140">
        <v>6.5291101622964796</v>
      </c>
      <c r="J140">
        <v>6.5294666553730201</v>
      </c>
      <c r="K140">
        <v>714.84513741596902</v>
      </c>
      <c r="L140">
        <v>-2229.5021794945801</v>
      </c>
      <c r="M140">
        <v>0.05</v>
      </c>
      <c r="N140">
        <v>7.4709804410153504</v>
      </c>
      <c r="O140">
        <v>1330.6754249302801</v>
      </c>
      <c r="P140">
        <v>12.090721849506901</v>
      </c>
    </row>
    <row r="141" spans="1:16" ht="16" customHeight="1" x14ac:dyDescent="0.2">
      <c r="A141">
        <v>40</v>
      </c>
      <c r="B141">
        <v>10</v>
      </c>
      <c r="C141">
        <v>20</v>
      </c>
      <c r="D141">
        <v>2.52</v>
      </c>
      <c r="E141">
        <v>0</v>
      </c>
      <c r="F141">
        <v>0</v>
      </c>
      <c r="G141">
        <v>163.97265809203699</v>
      </c>
      <c r="H141">
        <v>604.78262393569401</v>
      </c>
      <c r="I141">
        <v>6.5291101622964796</v>
      </c>
      <c r="J141">
        <v>6.5294666553730201</v>
      </c>
      <c r="K141">
        <v>714.84513741596902</v>
      </c>
      <c r="L141">
        <v>-2229.5021794945801</v>
      </c>
      <c r="M141">
        <v>0.06</v>
      </c>
      <c r="N141">
        <v>4.6735192038883797</v>
      </c>
      <c r="O141">
        <v>1330.6754249302801</v>
      </c>
      <c r="P141">
        <v>8.3211130072537198</v>
      </c>
    </row>
    <row r="142" spans="1:16" ht="16" customHeight="1" x14ac:dyDescent="0.2">
      <c r="A142">
        <v>40</v>
      </c>
      <c r="B142">
        <v>10</v>
      </c>
      <c r="C142">
        <v>20</v>
      </c>
      <c r="D142">
        <v>1</v>
      </c>
      <c r="E142">
        <v>1</v>
      </c>
      <c r="F142">
        <v>0.5</v>
      </c>
      <c r="G142">
        <v>68.741382856055793</v>
      </c>
      <c r="H142">
        <v>291.37216028633799</v>
      </c>
      <c r="I142">
        <v>2.7631191110189</v>
      </c>
      <c r="J142">
        <v>3.1279636949866099</v>
      </c>
      <c r="K142">
        <v>857.09417997486105</v>
      </c>
      <c r="L142">
        <v>957.08621470253604</v>
      </c>
      <c r="M142">
        <v>0.01</v>
      </c>
      <c r="N142">
        <v>89.864877232128293</v>
      </c>
      <c r="O142">
        <v>655.35442186871796</v>
      </c>
      <c r="P142">
        <v>51.2724318044271</v>
      </c>
    </row>
    <row r="143" spans="1:16" ht="16" customHeight="1" x14ac:dyDescent="0.2">
      <c r="A143">
        <v>40</v>
      </c>
      <c r="B143">
        <v>10</v>
      </c>
      <c r="C143">
        <v>20</v>
      </c>
      <c r="D143">
        <v>1</v>
      </c>
      <c r="E143">
        <v>1</v>
      </c>
      <c r="F143">
        <v>0.5</v>
      </c>
      <c r="G143">
        <v>68.741382856055793</v>
      </c>
      <c r="H143">
        <v>291.37216028633799</v>
      </c>
      <c r="I143">
        <v>2.7631191110189</v>
      </c>
      <c r="J143">
        <v>3.1279636949866099</v>
      </c>
      <c r="K143">
        <v>857.09417997486105</v>
      </c>
      <c r="L143">
        <v>957.08621470253604</v>
      </c>
      <c r="M143">
        <v>0.02</v>
      </c>
      <c r="N143">
        <v>47.1276536535091</v>
      </c>
      <c r="O143">
        <v>655.35442186871796</v>
      </c>
      <c r="P143">
        <v>28.380404565203701</v>
      </c>
    </row>
    <row r="144" spans="1:16" ht="16" customHeight="1" x14ac:dyDescent="0.2">
      <c r="A144">
        <v>40</v>
      </c>
      <c r="B144">
        <v>10</v>
      </c>
      <c r="C144">
        <v>20</v>
      </c>
      <c r="D144">
        <v>1</v>
      </c>
      <c r="E144">
        <v>1</v>
      </c>
      <c r="F144">
        <v>0.5</v>
      </c>
      <c r="G144">
        <v>68.741382856055793</v>
      </c>
      <c r="H144">
        <v>291.37216028633799</v>
      </c>
      <c r="I144">
        <v>2.7631191110189</v>
      </c>
      <c r="J144">
        <v>3.1279636949866099</v>
      </c>
      <c r="K144">
        <v>857.09417997486105</v>
      </c>
      <c r="L144">
        <v>957.08621470253604</v>
      </c>
      <c r="M144">
        <v>0.03</v>
      </c>
      <c r="N144">
        <v>26.169314759993998</v>
      </c>
      <c r="O144">
        <v>655.35442186871796</v>
      </c>
      <c r="P144">
        <v>16.602586255438201</v>
      </c>
    </row>
    <row r="145" spans="1:16" ht="16" customHeight="1" x14ac:dyDescent="0.2">
      <c r="A145">
        <v>40</v>
      </c>
      <c r="B145">
        <v>10</v>
      </c>
      <c r="C145">
        <v>20</v>
      </c>
      <c r="D145">
        <v>1</v>
      </c>
      <c r="E145">
        <v>1</v>
      </c>
      <c r="F145">
        <v>0.5</v>
      </c>
      <c r="G145">
        <v>68.741382856055793</v>
      </c>
      <c r="H145">
        <v>291.37216028633799</v>
      </c>
      <c r="I145">
        <v>2.7631191110189</v>
      </c>
      <c r="J145">
        <v>3.1279636949866099</v>
      </c>
      <c r="K145">
        <v>857.09417997486105</v>
      </c>
      <c r="L145">
        <v>957.08621470253604</v>
      </c>
      <c r="M145">
        <v>3.5000000000000003E-2</v>
      </c>
      <c r="N145">
        <v>19.912830889754499</v>
      </c>
      <c r="O145">
        <v>655.35442186871796</v>
      </c>
      <c r="P145">
        <v>12.9498184084371</v>
      </c>
    </row>
    <row r="146" spans="1:16" ht="16" customHeight="1" x14ac:dyDescent="0.2">
      <c r="A146">
        <v>40</v>
      </c>
      <c r="B146">
        <v>10</v>
      </c>
      <c r="C146">
        <v>20</v>
      </c>
      <c r="D146">
        <v>1</v>
      </c>
      <c r="E146">
        <v>1</v>
      </c>
      <c r="F146">
        <v>0.5</v>
      </c>
      <c r="G146">
        <v>68.741382856055793</v>
      </c>
      <c r="H146">
        <v>291.37216028633799</v>
      </c>
      <c r="I146">
        <v>2.7631191110189</v>
      </c>
      <c r="J146">
        <v>3.1279636949866099</v>
      </c>
      <c r="K146">
        <v>857.09417997486105</v>
      </c>
      <c r="L146">
        <v>957.08621470253604</v>
      </c>
      <c r="M146">
        <v>0.04</v>
      </c>
      <c r="N146">
        <v>15.3543592610177</v>
      </c>
      <c r="O146">
        <v>655.35442186871796</v>
      </c>
      <c r="P146">
        <v>10.224706919644801</v>
      </c>
    </row>
    <row r="147" spans="1:16" ht="16" customHeight="1" x14ac:dyDescent="0.2">
      <c r="A147">
        <v>40</v>
      </c>
      <c r="B147">
        <v>10</v>
      </c>
      <c r="C147">
        <v>20</v>
      </c>
      <c r="D147">
        <v>1</v>
      </c>
      <c r="E147">
        <v>1</v>
      </c>
      <c r="F147">
        <v>0.5</v>
      </c>
      <c r="G147">
        <v>68.741382856055793</v>
      </c>
      <c r="H147">
        <v>291.37216028633799</v>
      </c>
      <c r="I147">
        <v>2.7631191110189</v>
      </c>
      <c r="J147">
        <v>3.1279636949866099</v>
      </c>
      <c r="K147">
        <v>857.09417997486105</v>
      </c>
      <c r="L147">
        <v>957.08621470253604</v>
      </c>
      <c r="M147">
        <v>0.05</v>
      </c>
      <c r="N147">
        <v>9.4708535851061999</v>
      </c>
      <c r="O147">
        <v>655.35442186871796</v>
      </c>
      <c r="P147">
        <v>6.5918930599771404</v>
      </c>
    </row>
    <row r="148" spans="1:16" ht="16" customHeight="1" x14ac:dyDescent="0.2">
      <c r="A148">
        <v>40</v>
      </c>
      <c r="B148">
        <v>10</v>
      </c>
      <c r="C148">
        <v>20</v>
      </c>
      <c r="D148">
        <v>1</v>
      </c>
      <c r="E148">
        <v>1</v>
      </c>
      <c r="F148">
        <v>0.5</v>
      </c>
      <c r="G148">
        <v>68.741382856055793</v>
      </c>
      <c r="H148">
        <v>291.37216028633799</v>
      </c>
      <c r="I148">
        <v>2.7631191110189</v>
      </c>
      <c r="J148">
        <v>3.1279636949866099</v>
      </c>
      <c r="K148">
        <v>857.09417997486105</v>
      </c>
      <c r="L148">
        <v>957.08621470253604</v>
      </c>
      <c r="M148">
        <v>0.06</v>
      </c>
      <c r="N148">
        <v>6.09798246390472</v>
      </c>
      <c r="O148">
        <v>655.35442186871796</v>
      </c>
      <c r="P148">
        <v>4.4210157098194198</v>
      </c>
    </row>
    <row r="149" spans="1:16" ht="16" customHeight="1" x14ac:dyDescent="0.2">
      <c r="A149">
        <v>40</v>
      </c>
      <c r="B149">
        <v>10</v>
      </c>
      <c r="C149">
        <v>20</v>
      </c>
      <c r="D149">
        <v>0.13</v>
      </c>
      <c r="E149">
        <v>0</v>
      </c>
      <c r="F149">
        <v>0</v>
      </c>
      <c r="G149">
        <v>8.53222617022133</v>
      </c>
      <c r="H149">
        <v>30.8652466825937</v>
      </c>
      <c r="I149">
        <v>0.34888937691697702</v>
      </c>
      <c r="J149">
        <v>0.34891062984473198</v>
      </c>
      <c r="K149">
        <v>21.616460009132801</v>
      </c>
      <c r="L149">
        <v>-170.94859735407701</v>
      </c>
      <c r="M149">
        <v>0.01</v>
      </c>
      <c r="N149">
        <v>3.5268350581410899</v>
      </c>
      <c r="O149">
        <v>69.163336523602396</v>
      </c>
      <c r="P149">
        <v>4.0591558503110701</v>
      </c>
    </row>
    <row r="150" spans="1:16" ht="16" customHeight="1" x14ac:dyDescent="0.2">
      <c r="A150">
        <v>40</v>
      </c>
      <c r="B150">
        <v>10</v>
      </c>
      <c r="C150">
        <v>20</v>
      </c>
      <c r="D150">
        <v>0.13</v>
      </c>
      <c r="E150">
        <v>0</v>
      </c>
      <c r="F150">
        <v>0</v>
      </c>
      <c r="G150">
        <v>8.53222617022133</v>
      </c>
      <c r="H150">
        <v>30.8652466825937</v>
      </c>
      <c r="I150">
        <v>0.34888937691697702</v>
      </c>
      <c r="J150">
        <v>0.34891062984473198</v>
      </c>
      <c r="K150">
        <v>21.616460009132801</v>
      </c>
      <c r="L150">
        <v>-170.94859735407701</v>
      </c>
      <c r="M150">
        <v>0.02</v>
      </c>
      <c r="N150">
        <v>1.8008634480196</v>
      </c>
      <c r="O150">
        <v>69.163336523602396</v>
      </c>
      <c r="P150">
        <v>2.3705720980099199</v>
      </c>
    </row>
    <row r="151" spans="1:16" ht="16" customHeight="1" x14ac:dyDescent="0.2">
      <c r="A151">
        <v>40</v>
      </c>
      <c r="B151">
        <v>10</v>
      </c>
      <c r="C151">
        <v>20</v>
      </c>
      <c r="D151">
        <v>0.13</v>
      </c>
      <c r="E151">
        <v>0</v>
      </c>
      <c r="F151">
        <v>0</v>
      </c>
      <c r="G151">
        <v>8.53222617022133</v>
      </c>
      <c r="H151">
        <v>30.8652466825937</v>
      </c>
      <c r="I151">
        <v>0.34888937691697702</v>
      </c>
      <c r="J151">
        <v>0.34891062984473198</v>
      </c>
      <c r="K151">
        <v>21.616460009132801</v>
      </c>
      <c r="L151">
        <v>-170.94859735407701</v>
      </c>
      <c r="M151">
        <v>0.03</v>
      </c>
      <c r="N151">
        <v>0.95560978163495403</v>
      </c>
      <c r="O151">
        <v>69.163336523602396</v>
      </c>
      <c r="P151">
        <v>1.45681408577974</v>
      </c>
    </row>
    <row r="152" spans="1:16" ht="16" customHeight="1" x14ac:dyDescent="0.2">
      <c r="A152">
        <v>40</v>
      </c>
      <c r="B152">
        <v>10</v>
      </c>
      <c r="C152">
        <v>20</v>
      </c>
      <c r="D152">
        <v>0.13</v>
      </c>
      <c r="E152">
        <v>0</v>
      </c>
      <c r="F152">
        <v>0</v>
      </c>
      <c r="G152">
        <v>8.53222617022133</v>
      </c>
      <c r="H152">
        <v>30.8652466825937</v>
      </c>
      <c r="I152">
        <v>0.34888937691697702</v>
      </c>
      <c r="J152">
        <v>0.34891062984473198</v>
      </c>
      <c r="K152">
        <v>21.616460009132801</v>
      </c>
      <c r="L152">
        <v>-170.94859735407701</v>
      </c>
      <c r="M152">
        <v>3.5000000000000003E-2</v>
      </c>
      <c r="N152">
        <v>0.70533555597895203</v>
      </c>
      <c r="O152">
        <v>69.163336523602396</v>
      </c>
      <c r="P152">
        <v>1.16205465714762</v>
      </c>
    </row>
    <row r="153" spans="1:16" ht="16" customHeight="1" x14ac:dyDescent="0.2">
      <c r="A153">
        <v>40</v>
      </c>
      <c r="B153">
        <v>10</v>
      </c>
      <c r="C153">
        <v>20</v>
      </c>
      <c r="D153">
        <v>0.13</v>
      </c>
      <c r="E153">
        <v>0</v>
      </c>
      <c r="F153">
        <v>0</v>
      </c>
      <c r="G153">
        <v>8.53222617022133</v>
      </c>
      <c r="H153">
        <v>30.8652466825937</v>
      </c>
      <c r="I153">
        <v>0.34888937691697702</v>
      </c>
      <c r="J153">
        <v>0.34891062984473198</v>
      </c>
      <c r="K153">
        <v>21.616460009132801</v>
      </c>
      <c r="L153">
        <v>-170.94859735407701</v>
      </c>
      <c r="M153">
        <v>0.04</v>
      </c>
      <c r="N153">
        <v>0.52469758119320598</v>
      </c>
      <c r="O153">
        <v>69.163336523602396</v>
      </c>
      <c r="P153">
        <v>0.93676986851824195</v>
      </c>
    </row>
    <row r="154" spans="1:16" ht="16" customHeight="1" x14ac:dyDescent="0.2">
      <c r="A154">
        <v>40</v>
      </c>
      <c r="B154">
        <v>10</v>
      </c>
      <c r="C154">
        <v>20</v>
      </c>
      <c r="D154">
        <v>0.13</v>
      </c>
      <c r="E154">
        <v>0</v>
      </c>
      <c r="F154">
        <v>0</v>
      </c>
      <c r="G154">
        <v>8.53222617022133</v>
      </c>
      <c r="H154">
        <v>30.8652466825937</v>
      </c>
      <c r="I154">
        <v>0.34888937691697702</v>
      </c>
      <c r="J154">
        <v>0.34891062984473198</v>
      </c>
      <c r="K154">
        <v>21.616460009132801</v>
      </c>
      <c r="L154">
        <v>-170.94859735407701</v>
      </c>
      <c r="M154">
        <v>0.05</v>
      </c>
      <c r="N154">
        <v>0.29616467977673899</v>
      </c>
      <c r="O154">
        <v>69.163336523602396</v>
      </c>
      <c r="P154">
        <v>0.62637629189110899</v>
      </c>
    </row>
    <row r="155" spans="1:16" ht="16" customHeight="1" x14ac:dyDescent="0.2">
      <c r="A155">
        <v>40</v>
      </c>
      <c r="B155">
        <v>10</v>
      </c>
      <c r="C155">
        <v>20</v>
      </c>
      <c r="D155">
        <v>0.13</v>
      </c>
      <c r="E155">
        <v>0</v>
      </c>
      <c r="F155">
        <v>0</v>
      </c>
      <c r="G155">
        <v>8.53222617022133</v>
      </c>
      <c r="H155">
        <v>30.8652466825937</v>
      </c>
      <c r="I155">
        <v>0.34888937691697702</v>
      </c>
      <c r="J155">
        <v>0.34891062984473198</v>
      </c>
      <c r="K155">
        <v>21.616460009132801</v>
      </c>
      <c r="L155">
        <v>-170.94859735407701</v>
      </c>
      <c r="M155">
        <v>0.06</v>
      </c>
      <c r="N155">
        <v>0.17033793674165601</v>
      </c>
      <c r="O155">
        <v>69.163336523602396</v>
      </c>
      <c r="P155">
        <v>0.43290779090775</v>
      </c>
    </row>
    <row r="156" spans="1:16" ht="16" customHeight="1" x14ac:dyDescent="0.2">
      <c r="A156">
        <v>40</v>
      </c>
      <c r="B156">
        <v>10</v>
      </c>
      <c r="C156">
        <v>20</v>
      </c>
      <c r="D156">
        <v>0</v>
      </c>
      <c r="E156">
        <v>0.47</v>
      </c>
      <c r="F156">
        <v>0</v>
      </c>
      <c r="G156">
        <v>0</v>
      </c>
      <c r="H156">
        <v>0</v>
      </c>
      <c r="I156">
        <v>0</v>
      </c>
      <c r="J156">
        <v>0</v>
      </c>
      <c r="K156">
        <v>235.769463877053</v>
      </c>
      <c r="L156">
        <v>818.09728155784501</v>
      </c>
      <c r="M156">
        <v>0.01</v>
      </c>
      <c r="N156">
        <v>17.788115521800101</v>
      </c>
      <c r="O156">
        <v>0</v>
      </c>
      <c r="P156">
        <v>0</v>
      </c>
    </row>
    <row r="157" spans="1:16" ht="16" customHeight="1" x14ac:dyDescent="0.2">
      <c r="A157">
        <v>40</v>
      </c>
      <c r="B157">
        <v>10</v>
      </c>
      <c r="C157">
        <v>20</v>
      </c>
      <c r="D157">
        <v>0</v>
      </c>
      <c r="E157">
        <v>0.47</v>
      </c>
      <c r="F157">
        <v>0</v>
      </c>
      <c r="G157">
        <v>0</v>
      </c>
      <c r="H157">
        <v>0</v>
      </c>
      <c r="I157">
        <v>0</v>
      </c>
      <c r="J157">
        <v>0</v>
      </c>
      <c r="K157">
        <v>235.769463877053</v>
      </c>
      <c r="L157">
        <v>818.09728155784501</v>
      </c>
      <c r="M157">
        <v>0.02</v>
      </c>
      <c r="N157">
        <v>9.9272150239135009</v>
      </c>
      <c r="O157">
        <v>0</v>
      </c>
      <c r="P157">
        <v>0</v>
      </c>
    </row>
    <row r="158" spans="1:16" ht="16" customHeight="1" x14ac:dyDescent="0.2">
      <c r="A158">
        <v>40</v>
      </c>
      <c r="B158">
        <v>10</v>
      </c>
      <c r="C158">
        <v>20</v>
      </c>
      <c r="D158">
        <v>0</v>
      </c>
      <c r="E158">
        <v>0.47</v>
      </c>
      <c r="F158">
        <v>0</v>
      </c>
      <c r="G158">
        <v>0</v>
      </c>
      <c r="H158">
        <v>0</v>
      </c>
      <c r="I158">
        <v>0</v>
      </c>
      <c r="J158">
        <v>0</v>
      </c>
      <c r="K158">
        <v>235.769463877053</v>
      </c>
      <c r="L158">
        <v>818.09728155784501</v>
      </c>
      <c r="M158">
        <v>0.03</v>
      </c>
      <c r="N158">
        <v>5.8770754681672797</v>
      </c>
      <c r="O158">
        <v>0</v>
      </c>
      <c r="P158">
        <v>0</v>
      </c>
    </row>
    <row r="159" spans="1:16" ht="16" customHeight="1" x14ac:dyDescent="0.2">
      <c r="A159">
        <v>40</v>
      </c>
      <c r="B159">
        <v>10</v>
      </c>
      <c r="C159">
        <v>20</v>
      </c>
      <c r="D159">
        <v>0</v>
      </c>
      <c r="E159">
        <v>0.47</v>
      </c>
      <c r="F159">
        <v>0</v>
      </c>
      <c r="G159">
        <v>0</v>
      </c>
      <c r="H159">
        <v>0</v>
      </c>
      <c r="I159">
        <v>0</v>
      </c>
      <c r="J159">
        <v>0</v>
      </c>
      <c r="K159">
        <v>235.769463877053</v>
      </c>
      <c r="L159">
        <v>818.09728155784501</v>
      </c>
      <c r="M159">
        <v>3.5000000000000003E-2</v>
      </c>
      <c r="N159">
        <v>4.6162830146816898</v>
      </c>
      <c r="O159">
        <v>0</v>
      </c>
      <c r="P159">
        <v>0</v>
      </c>
    </row>
    <row r="160" spans="1:16" ht="16" customHeight="1" x14ac:dyDescent="0.2">
      <c r="A160">
        <v>40</v>
      </c>
      <c r="B160">
        <v>10</v>
      </c>
      <c r="C160">
        <v>20</v>
      </c>
      <c r="D160">
        <v>0</v>
      </c>
      <c r="E160">
        <v>0.47</v>
      </c>
      <c r="F160">
        <v>0</v>
      </c>
      <c r="G160">
        <v>0</v>
      </c>
      <c r="H160">
        <v>0</v>
      </c>
      <c r="I160">
        <v>0</v>
      </c>
      <c r="J160">
        <v>0</v>
      </c>
      <c r="K160">
        <v>235.769463877053</v>
      </c>
      <c r="L160">
        <v>818.09728155784501</v>
      </c>
      <c r="M160">
        <v>0.04</v>
      </c>
      <c r="N160">
        <v>3.6720940049469499</v>
      </c>
      <c r="O160">
        <v>0</v>
      </c>
      <c r="P160">
        <v>0</v>
      </c>
    </row>
    <row r="161" spans="1:16" ht="16" customHeight="1" x14ac:dyDescent="0.2">
      <c r="A161">
        <v>40</v>
      </c>
      <c r="B161">
        <v>10</v>
      </c>
      <c r="C161">
        <v>20</v>
      </c>
      <c r="D161">
        <v>0</v>
      </c>
      <c r="E161">
        <v>0.47</v>
      </c>
      <c r="F161">
        <v>0</v>
      </c>
      <c r="G161">
        <v>0</v>
      </c>
      <c r="H161">
        <v>0</v>
      </c>
      <c r="I161">
        <v>0</v>
      </c>
      <c r="J161">
        <v>0</v>
      </c>
      <c r="K161">
        <v>235.769463877053</v>
      </c>
      <c r="L161">
        <v>818.09728155784501</v>
      </c>
      <c r="M161">
        <v>0.05</v>
      </c>
      <c r="N161">
        <v>2.4039771116768098</v>
      </c>
      <c r="O161">
        <v>0</v>
      </c>
      <c r="P161">
        <v>0</v>
      </c>
    </row>
    <row r="162" spans="1:16" ht="16" customHeight="1" x14ac:dyDescent="0.2">
      <c r="A162">
        <v>40</v>
      </c>
      <c r="B162">
        <v>10</v>
      </c>
      <c r="C162">
        <v>20</v>
      </c>
      <c r="D162">
        <v>0</v>
      </c>
      <c r="E162">
        <v>0.47</v>
      </c>
      <c r="F162">
        <v>0</v>
      </c>
      <c r="G162">
        <v>0</v>
      </c>
      <c r="H162">
        <v>0</v>
      </c>
      <c r="I162">
        <v>0</v>
      </c>
      <c r="J162">
        <v>0</v>
      </c>
      <c r="K162">
        <v>235.769463877053</v>
      </c>
      <c r="L162">
        <v>818.09728155784501</v>
      </c>
      <c r="M162">
        <v>0.06</v>
      </c>
      <c r="N162">
        <v>1.63570877570738</v>
      </c>
      <c r="O162">
        <v>0</v>
      </c>
      <c r="P162">
        <v>0</v>
      </c>
    </row>
    <row r="163" spans="1:16" ht="16" customHeight="1" x14ac:dyDescent="0.2">
      <c r="A163">
        <v>40</v>
      </c>
      <c r="B163">
        <v>10</v>
      </c>
      <c r="C163">
        <v>20</v>
      </c>
      <c r="D163">
        <v>0</v>
      </c>
      <c r="E163">
        <v>0</v>
      </c>
      <c r="F163">
        <v>0.54</v>
      </c>
      <c r="G163">
        <v>0.57443446485086902</v>
      </c>
      <c r="H163">
        <v>46.392408746817701</v>
      </c>
      <c r="I163">
        <v>0</v>
      </c>
      <c r="J163">
        <v>0.393804244948047</v>
      </c>
      <c r="K163">
        <v>-20.8515941594715</v>
      </c>
      <c r="L163">
        <v>-91.440993263168593</v>
      </c>
      <c r="M163">
        <v>0.01</v>
      </c>
      <c r="N163">
        <v>19.9627996341531</v>
      </c>
      <c r="O163">
        <v>110.38907147096</v>
      </c>
      <c r="P163">
        <v>20.049257383607401</v>
      </c>
    </row>
    <row r="164" spans="1:16" ht="16" customHeight="1" x14ac:dyDescent="0.2">
      <c r="A164">
        <v>40</v>
      </c>
      <c r="B164">
        <v>10</v>
      </c>
      <c r="C164">
        <v>20</v>
      </c>
      <c r="D164">
        <v>0</v>
      </c>
      <c r="E164">
        <v>0</v>
      </c>
      <c r="F164">
        <v>0.54</v>
      </c>
      <c r="G164">
        <v>0.57443446485086902</v>
      </c>
      <c r="H164">
        <v>46.392408746817701</v>
      </c>
      <c r="I164">
        <v>0</v>
      </c>
      <c r="J164">
        <v>0.393804244948047</v>
      </c>
      <c r="K164">
        <v>-20.8515941594715</v>
      </c>
      <c r="L164">
        <v>-91.440993263168593</v>
      </c>
      <c r="M164">
        <v>0.02</v>
      </c>
      <c r="N164">
        <v>8.6948417105409899</v>
      </c>
      <c r="O164">
        <v>110.38907147096</v>
      </c>
      <c r="P164">
        <v>10.0536723494555</v>
      </c>
    </row>
    <row r="165" spans="1:16" ht="16" customHeight="1" x14ac:dyDescent="0.2">
      <c r="A165">
        <v>40</v>
      </c>
      <c r="B165">
        <v>10</v>
      </c>
      <c r="C165">
        <v>20</v>
      </c>
      <c r="D165">
        <v>0</v>
      </c>
      <c r="E165">
        <v>0</v>
      </c>
      <c r="F165">
        <v>0.54</v>
      </c>
      <c r="G165">
        <v>0.57443446485086902</v>
      </c>
      <c r="H165">
        <v>46.392408746817701</v>
      </c>
      <c r="I165">
        <v>0</v>
      </c>
      <c r="J165">
        <v>0.393804244948047</v>
      </c>
      <c r="K165">
        <v>-20.8515941594715</v>
      </c>
      <c r="L165">
        <v>-91.440993263168593</v>
      </c>
      <c r="M165">
        <v>0.03</v>
      </c>
      <c r="N165">
        <v>3.84410806074998</v>
      </c>
      <c r="O165">
        <v>110.38907147096</v>
      </c>
      <c r="P165">
        <v>5.2939615023097897</v>
      </c>
    </row>
    <row r="166" spans="1:16" ht="16" customHeight="1" x14ac:dyDescent="0.2">
      <c r="A166">
        <v>40</v>
      </c>
      <c r="B166">
        <v>10</v>
      </c>
      <c r="C166">
        <v>20</v>
      </c>
      <c r="D166">
        <v>0</v>
      </c>
      <c r="E166">
        <v>0</v>
      </c>
      <c r="F166">
        <v>0.54</v>
      </c>
      <c r="G166">
        <v>0.57443446485086902</v>
      </c>
      <c r="H166">
        <v>46.392408746817701</v>
      </c>
      <c r="I166">
        <v>0</v>
      </c>
      <c r="J166">
        <v>0.393804244948047</v>
      </c>
      <c r="K166">
        <v>-20.8515941594715</v>
      </c>
      <c r="L166">
        <v>-91.440993263168593</v>
      </c>
      <c r="M166">
        <v>3.5000000000000003E-2</v>
      </c>
      <c r="N166">
        <v>2.5657349939328302</v>
      </c>
      <c r="O166">
        <v>110.38907147096</v>
      </c>
      <c r="P166">
        <v>3.91421480470447</v>
      </c>
    </row>
    <row r="167" spans="1:16" ht="16" customHeight="1" x14ac:dyDescent="0.2">
      <c r="A167">
        <v>40</v>
      </c>
      <c r="B167">
        <v>10</v>
      </c>
      <c r="C167">
        <v>20</v>
      </c>
      <c r="D167">
        <v>0</v>
      </c>
      <c r="E167">
        <v>0</v>
      </c>
      <c r="F167">
        <v>0.54</v>
      </c>
      <c r="G167">
        <v>0.57443446485086902</v>
      </c>
      <c r="H167">
        <v>46.392408746817701</v>
      </c>
      <c r="I167">
        <v>0</v>
      </c>
      <c r="J167">
        <v>0.393804244948047</v>
      </c>
      <c r="K167">
        <v>-20.8515941594715</v>
      </c>
      <c r="L167">
        <v>-91.440993263168593</v>
      </c>
      <c r="M167">
        <v>0.04</v>
      </c>
      <c r="N167">
        <v>1.7141887678038901</v>
      </c>
      <c r="O167">
        <v>110.38907147096</v>
      </c>
      <c r="P167">
        <v>2.93038979449712</v>
      </c>
    </row>
    <row r="168" spans="1:16" ht="16" customHeight="1" x14ac:dyDescent="0.2">
      <c r="A168">
        <v>40</v>
      </c>
      <c r="B168">
        <v>10</v>
      </c>
      <c r="C168">
        <v>20</v>
      </c>
      <c r="D168">
        <v>0</v>
      </c>
      <c r="E168">
        <v>0</v>
      </c>
      <c r="F168">
        <v>0.54</v>
      </c>
      <c r="G168">
        <v>0.57443446485086902</v>
      </c>
      <c r="H168">
        <v>46.392408746817701</v>
      </c>
      <c r="I168">
        <v>0</v>
      </c>
      <c r="J168">
        <v>0.393804244948047</v>
      </c>
      <c r="K168">
        <v>-20.8515941594715</v>
      </c>
      <c r="L168">
        <v>-91.440993263168593</v>
      </c>
      <c r="M168">
        <v>0.05</v>
      </c>
      <c r="N168">
        <v>0.76167968601928604</v>
      </c>
      <c r="O168">
        <v>110.38907147096</v>
      </c>
      <c r="P168">
        <v>1.7037447829044201</v>
      </c>
    </row>
    <row r="169" spans="1:16" ht="16" customHeight="1" x14ac:dyDescent="0.2">
      <c r="A169">
        <v>40</v>
      </c>
      <c r="B169">
        <v>10</v>
      </c>
      <c r="C169">
        <v>20</v>
      </c>
      <c r="D169">
        <v>0</v>
      </c>
      <c r="E169">
        <v>0</v>
      </c>
      <c r="F169">
        <v>0.54</v>
      </c>
      <c r="G169">
        <v>0.57443446485086902</v>
      </c>
      <c r="H169">
        <v>46.392408746817701</v>
      </c>
      <c r="I169">
        <v>0</v>
      </c>
      <c r="J169">
        <v>0.393804244948047</v>
      </c>
      <c r="K169">
        <v>-20.8515941594715</v>
      </c>
      <c r="L169">
        <v>-91.440993263168593</v>
      </c>
      <c r="M169">
        <v>0.06</v>
      </c>
      <c r="N169">
        <v>0.32914634620993299</v>
      </c>
      <c r="O169">
        <v>110.38907147096</v>
      </c>
      <c r="P169">
        <v>1.03773654042145</v>
      </c>
    </row>
    <row r="170" spans="1:16" ht="16" customHeight="1" x14ac:dyDescent="0.2">
      <c r="A170">
        <v>40</v>
      </c>
      <c r="B170">
        <v>10</v>
      </c>
      <c r="C170">
        <v>20</v>
      </c>
      <c r="D170">
        <v>0.13</v>
      </c>
      <c r="E170">
        <v>0.47</v>
      </c>
      <c r="F170">
        <v>0.54</v>
      </c>
      <c r="G170">
        <v>9.1066643575935196</v>
      </c>
      <c r="H170">
        <v>77.260441039339298</v>
      </c>
      <c r="I170">
        <v>0.34888937691697702</v>
      </c>
      <c r="J170">
        <v>0.74272154631445997</v>
      </c>
      <c r="K170">
        <v>274.08749956012298</v>
      </c>
      <c r="L170">
        <v>681.02440084898899</v>
      </c>
      <c r="M170">
        <v>0.01</v>
      </c>
      <c r="N170">
        <v>42.116715770824797</v>
      </c>
      <c r="O170">
        <v>179.55478642667299</v>
      </c>
      <c r="P170">
        <v>24.1113470791942</v>
      </c>
    </row>
    <row r="171" spans="1:16" ht="16" customHeight="1" x14ac:dyDescent="0.2">
      <c r="A171">
        <v>40</v>
      </c>
      <c r="B171">
        <v>10</v>
      </c>
      <c r="C171">
        <v>20</v>
      </c>
      <c r="D171">
        <v>0.13</v>
      </c>
      <c r="E171">
        <v>0.47</v>
      </c>
      <c r="F171">
        <v>0.54</v>
      </c>
      <c r="G171">
        <v>9.1066643575935196</v>
      </c>
      <c r="H171">
        <v>77.260441039339298</v>
      </c>
      <c r="I171">
        <v>0.34888937691697702</v>
      </c>
      <c r="J171">
        <v>0.74272154631445997</v>
      </c>
      <c r="K171">
        <v>274.08749956012298</v>
      </c>
      <c r="L171">
        <v>681.02440084898899</v>
      </c>
      <c r="M171">
        <v>0.02</v>
      </c>
      <c r="N171">
        <v>21.008111120754201</v>
      </c>
      <c r="O171">
        <v>179.55478642667299</v>
      </c>
      <c r="P171">
        <v>12.4254900097819</v>
      </c>
    </row>
    <row r="172" spans="1:16" ht="16" customHeight="1" x14ac:dyDescent="0.2">
      <c r="A172">
        <v>40</v>
      </c>
      <c r="B172">
        <v>10</v>
      </c>
      <c r="C172">
        <v>20</v>
      </c>
      <c r="D172">
        <v>0.13</v>
      </c>
      <c r="E172">
        <v>0.47</v>
      </c>
      <c r="F172">
        <v>0.54</v>
      </c>
      <c r="G172">
        <v>9.1066643575935196</v>
      </c>
      <c r="H172">
        <v>77.260441039339298</v>
      </c>
      <c r="I172">
        <v>0.34888937691697702</v>
      </c>
      <c r="J172">
        <v>0.74272154631445997</v>
      </c>
      <c r="K172">
        <v>274.08749956012298</v>
      </c>
      <c r="L172">
        <v>681.02440084898899</v>
      </c>
      <c r="M172">
        <v>0.03</v>
      </c>
      <c r="N172">
        <v>11.096535375058499</v>
      </c>
      <c r="O172">
        <v>179.55478642667299</v>
      </c>
      <c r="P172">
        <v>6.7513194463517197</v>
      </c>
    </row>
    <row r="173" spans="1:16" ht="16" customHeight="1" x14ac:dyDescent="0.2">
      <c r="A173">
        <v>40</v>
      </c>
      <c r="B173">
        <v>10</v>
      </c>
      <c r="C173">
        <v>20</v>
      </c>
      <c r="D173">
        <v>0.13</v>
      </c>
      <c r="E173">
        <v>0.47</v>
      </c>
      <c r="F173">
        <v>0.54</v>
      </c>
      <c r="G173">
        <v>9.1066643575935196</v>
      </c>
      <c r="H173">
        <v>77.260441039339298</v>
      </c>
      <c r="I173">
        <v>0.34888937691697702</v>
      </c>
      <c r="J173">
        <v>0.74272154631445997</v>
      </c>
      <c r="K173">
        <v>274.08749956012298</v>
      </c>
      <c r="L173">
        <v>681.02440084898899</v>
      </c>
      <c r="M173">
        <v>3.5000000000000003E-2</v>
      </c>
      <c r="N173">
        <v>8.2456805465028804</v>
      </c>
      <c r="O173">
        <v>179.55478642667299</v>
      </c>
      <c r="P173">
        <v>5.0766331730686396</v>
      </c>
    </row>
    <row r="174" spans="1:16" ht="16" customHeight="1" x14ac:dyDescent="0.2">
      <c r="A174">
        <v>40</v>
      </c>
      <c r="B174">
        <v>10</v>
      </c>
      <c r="C174">
        <v>20</v>
      </c>
      <c r="D174">
        <v>0.13</v>
      </c>
      <c r="E174">
        <v>0.47</v>
      </c>
      <c r="F174">
        <v>0.54</v>
      </c>
      <c r="G174">
        <v>9.1066643575935196</v>
      </c>
      <c r="H174">
        <v>77.260441039339298</v>
      </c>
      <c r="I174">
        <v>0.34888937691697702</v>
      </c>
      <c r="J174">
        <v>0.74272154631445997</v>
      </c>
      <c r="K174">
        <v>274.08749956012298</v>
      </c>
      <c r="L174">
        <v>681.02440084898899</v>
      </c>
      <c r="M174">
        <v>0.04</v>
      </c>
      <c r="N174">
        <v>6.2182018050295804</v>
      </c>
      <c r="O174">
        <v>179.55478642667299</v>
      </c>
      <c r="P174">
        <v>3.86740507899373</v>
      </c>
    </row>
    <row r="175" spans="1:16" ht="16" customHeight="1" x14ac:dyDescent="0.2">
      <c r="A175">
        <v>40</v>
      </c>
      <c r="B175">
        <v>10</v>
      </c>
      <c r="C175">
        <v>20</v>
      </c>
      <c r="D175">
        <v>0.13</v>
      </c>
      <c r="E175">
        <v>0.47</v>
      </c>
      <c r="F175">
        <v>0.54</v>
      </c>
      <c r="G175">
        <v>9.1066643575935196</v>
      </c>
      <c r="H175">
        <v>77.260441039339298</v>
      </c>
      <c r="I175">
        <v>0.34888937691697702</v>
      </c>
      <c r="J175">
        <v>0.74272154631445997</v>
      </c>
      <c r="K175">
        <v>274.08749956012298</v>
      </c>
      <c r="L175">
        <v>681.02440084898899</v>
      </c>
      <c r="M175">
        <v>0.05</v>
      </c>
      <c r="N175">
        <v>3.6901085224454402</v>
      </c>
      <c r="O175">
        <v>179.55478642667299</v>
      </c>
      <c r="P175">
        <v>2.3302362011293201</v>
      </c>
    </row>
    <row r="176" spans="1:16" ht="16" customHeight="1" x14ac:dyDescent="0.2">
      <c r="A176">
        <v>40</v>
      </c>
      <c r="B176">
        <v>10</v>
      </c>
      <c r="C176">
        <v>20</v>
      </c>
      <c r="D176">
        <v>0.13</v>
      </c>
      <c r="E176">
        <v>0.47</v>
      </c>
      <c r="F176">
        <v>0.54</v>
      </c>
      <c r="G176">
        <v>9.1066643575935196</v>
      </c>
      <c r="H176">
        <v>77.260441039339298</v>
      </c>
      <c r="I176">
        <v>0.34888937691697702</v>
      </c>
      <c r="J176">
        <v>0.74272154631445997</v>
      </c>
      <c r="K176">
        <v>274.08749956012298</v>
      </c>
      <c r="L176">
        <v>681.02440084898899</v>
      </c>
      <c r="M176">
        <v>0.06</v>
      </c>
      <c r="N176">
        <v>2.3068251077647801</v>
      </c>
      <c r="O176">
        <v>179.55478642667299</v>
      </c>
      <c r="P176">
        <v>1.4707008406933999</v>
      </c>
    </row>
    <row r="177" spans="1:16" ht="16" customHeight="1" x14ac:dyDescent="0.2">
      <c r="A177">
        <v>65</v>
      </c>
      <c r="B177">
        <v>10</v>
      </c>
      <c r="C177">
        <v>20</v>
      </c>
      <c r="D177">
        <v>0.5</v>
      </c>
      <c r="E177">
        <v>0.5</v>
      </c>
      <c r="F177">
        <v>0.5</v>
      </c>
      <c r="G177">
        <v>27.644774633539299</v>
      </c>
      <c r="H177">
        <v>93.848348356157302</v>
      </c>
      <c r="I177">
        <v>1.17838265284647</v>
      </c>
      <c r="J177">
        <v>1.17838265284647</v>
      </c>
      <c r="K177">
        <v>326.36233150701401</v>
      </c>
      <c r="L177">
        <v>327.93412449420799</v>
      </c>
      <c r="M177">
        <v>0.01</v>
      </c>
      <c r="N177">
        <v>26.029114596107</v>
      </c>
      <c r="O177">
        <v>223.29059946145301</v>
      </c>
      <c r="P177">
        <v>12.294566540007001</v>
      </c>
    </row>
    <row r="178" spans="1:16" ht="16" customHeight="1" x14ac:dyDescent="0.2">
      <c r="A178">
        <v>65</v>
      </c>
      <c r="B178">
        <v>10</v>
      </c>
      <c r="C178">
        <v>20</v>
      </c>
      <c r="D178">
        <v>0.5</v>
      </c>
      <c r="E178">
        <v>0.5</v>
      </c>
      <c r="F178">
        <v>0.5</v>
      </c>
      <c r="G178">
        <v>27.644774633539299</v>
      </c>
      <c r="H178">
        <v>93.848348356157302</v>
      </c>
      <c r="I178">
        <v>1.17838265284647</v>
      </c>
      <c r="J178">
        <v>1.17838265284647</v>
      </c>
      <c r="K178">
        <v>326.36233150701401</v>
      </c>
      <c r="L178">
        <v>327.93412449420799</v>
      </c>
      <c r="M178">
        <v>0.02</v>
      </c>
      <c r="N178">
        <v>14.3497381961279</v>
      </c>
      <c r="O178">
        <v>223.29059946145301</v>
      </c>
      <c r="P178">
        <v>7.2482518504440101</v>
      </c>
    </row>
    <row r="179" spans="1:16" ht="16" customHeight="1" x14ac:dyDescent="0.2">
      <c r="A179">
        <v>65</v>
      </c>
      <c r="B179">
        <v>10</v>
      </c>
      <c r="C179">
        <v>20</v>
      </c>
      <c r="D179">
        <v>0.5</v>
      </c>
      <c r="E179">
        <v>0.5</v>
      </c>
      <c r="F179">
        <v>0.5</v>
      </c>
      <c r="G179">
        <v>27.644774633539299</v>
      </c>
      <c r="H179">
        <v>93.848348356157302</v>
      </c>
      <c r="I179">
        <v>1.17838265284647</v>
      </c>
      <c r="J179">
        <v>1.17838265284647</v>
      </c>
      <c r="K179">
        <v>326.36233150701401</v>
      </c>
      <c r="L179">
        <v>327.93412449420799</v>
      </c>
      <c r="M179">
        <v>0.03</v>
      </c>
      <c r="N179">
        <v>8.3779843951306603</v>
      </c>
      <c r="O179">
        <v>223.29059946145301</v>
      </c>
      <c r="P179">
        <v>4.4982625157006098</v>
      </c>
    </row>
    <row r="180" spans="1:16" ht="16" customHeight="1" x14ac:dyDescent="0.2">
      <c r="A180">
        <v>65</v>
      </c>
      <c r="B180">
        <v>10</v>
      </c>
      <c r="C180">
        <v>20</v>
      </c>
      <c r="D180">
        <v>0.5</v>
      </c>
      <c r="E180">
        <v>0.5</v>
      </c>
      <c r="F180">
        <v>0.5</v>
      </c>
      <c r="G180">
        <v>27.644774633539299</v>
      </c>
      <c r="H180">
        <v>93.848348356157302</v>
      </c>
      <c r="I180">
        <v>1.17838265284647</v>
      </c>
      <c r="J180">
        <v>1.17838265284647</v>
      </c>
      <c r="K180">
        <v>326.36233150701401</v>
      </c>
      <c r="L180">
        <v>327.93412449420799</v>
      </c>
      <c r="M180">
        <v>3.5000000000000003E-2</v>
      </c>
      <c r="N180">
        <v>6.5324784498110802</v>
      </c>
      <c r="O180">
        <v>223.29059946145301</v>
      </c>
      <c r="P180">
        <v>3.6057048603081201</v>
      </c>
    </row>
    <row r="181" spans="1:16" ht="16" customHeight="1" x14ac:dyDescent="0.2">
      <c r="A181">
        <v>65</v>
      </c>
      <c r="B181">
        <v>10</v>
      </c>
      <c r="C181">
        <v>20</v>
      </c>
      <c r="D181">
        <v>0.5</v>
      </c>
      <c r="E181">
        <v>0.5</v>
      </c>
      <c r="F181">
        <v>0.5</v>
      </c>
      <c r="G181">
        <v>27.644774633539299</v>
      </c>
      <c r="H181">
        <v>93.848348356157302</v>
      </c>
      <c r="I181">
        <v>1.17838265284647</v>
      </c>
      <c r="J181">
        <v>1.17838265284647</v>
      </c>
      <c r="K181">
        <v>326.36233150701401</v>
      </c>
      <c r="L181">
        <v>327.93412449420799</v>
      </c>
      <c r="M181">
        <v>0.04</v>
      </c>
      <c r="N181">
        <v>5.1575903468342803</v>
      </c>
      <c r="O181">
        <v>223.29059946145301</v>
      </c>
      <c r="P181">
        <v>2.9206850629735199</v>
      </c>
    </row>
    <row r="182" spans="1:16" ht="16" customHeight="1" x14ac:dyDescent="0.2">
      <c r="A182">
        <v>65</v>
      </c>
      <c r="B182">
        <v>10</v>
      </c>
      <c r="C182">
        <v>20</v>
      </c>
      <c r="D182">
        <v>0.5</v>
      </c>
      <c r="E182">
        <v>0.5</v>
      </c>
      <c r="F182">
        <v>0.5</v>
      </c>
      <c r="G182">
        <v>27.644774633539299</v>
      </c>
      <c r="H182">
        <v>93.848348356157302</v>
      </c>
      <c r="I182">
        <v>1.17838265284647</v>
      </c>
      <c r="J182">
        <v>1.17838265284647</v>
      </c>
      <c r="K182">
        <v>326.36233150701401</v>
      </c>
      <c r="L182">
        <v>327.93412449420799</v>
      </c>
      <c r="M182">
        <v>0.05</v>
      </c>
      <c r="N182">
        <v>3.3260657625843599</v>
      </c>
      <c r="O182">
        <v>223.29059946145301</v>
      </c>
      <c r="P182">
        <v>1.9710279585010899</v>
      </c>
    </row>
    <row r="183" spans="1:16" ht="16" customHeight="1" x14ac:dyDescent="0.2">
      <c r="A183">
        <v>65</v>
      </c>
      <c r="B183">
        <v>10</v>
      </c>
      <c r="C183">
        <v>20</v>
      </c>
      <c r="D183">
        <v>0.5</v>
      </c>
      <c r="E183">
        <v>0.5</v>
      </c>
      <c r="F183">
        <v>0.5</v>
      </c>
      <c r="G183">
        <v>27.644774633539299</v>
      </c>
      <c r="H183">
        <v>93.848348356157302</v>
      </c>
      <c r="I183">
        <v>1.17838265284647</v>
      </c>
      <c r="J183">
        <v>1.17838265284647</v>
      </c>
      <c r="K183">
        <v>326.36233150701401</v>
      </c>
      <c r="L183">
        <v>327.93412449420799</v>
      </c>
      <c r="M183">
        <v>0.06</v>
      </c>
      <c r="N183">
        <v>2.2301688628073499</v>
      </c>
      <c r="O183">
        <v>223.29059946145301</v>
      </c>
      <c r="P183">
        <v>1.37391118501234</v>
      </c>
    </row>
    <row r="184" spans="1:16" ht="16" customHeight="1" x14ac:dyDescent="0.2">
      <c r="A184">
        <v>40</v>
      </c>
      <c r="B184">
        <v>10</v>
      </c>
      <c r="C184">
        <v>20</v>
      </c>
      <c r="D184">
        <v>5</v>
      </c>
      <c r="E184">
        <v>5</v>
      </c>
      <c r="F184">
        <v>0.6</v>
      </c>
      <c r="G184">
        <v>322.79216554520002</v>
      </c>
      <c r="H184">
        <v>1265.4383116690501</v>
      </c>
      <c r="I184">
        <v>12.462417608411201</v>
      </c>
      <c r="J184">
        <v>12.9008351694907</v>
      </c>
      <c r="K184">
        <v>3951.07712146837</v>
      </c>
      <c r="L184">
        <v>4048.2036531427402</v>
      </c>
      <c r="M184">
        <v>0.01</v>
      </c>
      <c r="N184">
        <v>356.098995731326</v>
      </c>
      <c r="O184">
        <v>2740.34103693006</v>
      </c>
      <c r="P184">
        <v>182.69490213856599</v>
      </c>
    </row>
    <row r="185" spans="1:16" ht="16" customHeight="1" x14ac:dyDescent="0.2">
      <c r="A185">
        <v>40</v>
      </c>
      <c r="B185">
        <v>10</v>
      </c>
      <c r="C185">
        <v>20</v>
      </c>
      <c r="D185">
        <v>5</v>
      </c>
      <c r="E185">
        <v>5</v>
      </c>
      <c r="F185">
        <v>0.6</v>
      </c>
      <c r="G185">
        <v>322.79216554520002</v>
      </c>
      <c r="H185">
        <v>1265.4383116690501</v>
      </c>
      <c r="I185">
        <v>12.462417608411201</v>
      </c>
      <c r="J185">
        <v>12.9008351694907</v>
      </c>
      <c r="K185">
        <v>3951.07712146837</v>
      </c>
      <c r="L185">
        <v>4048.2036531427402</v>
      </c>
      <c r="M185">
        <v>0.02</v>
      </c>
      <c r="N185">
        <v>191.438128239988</v>
      </c>
      <c r="O185">
        <v>2740.34103693006</v>
      </c>
      <c r="P185">
        <v>104.082389877992</v>
      </c>
    </row>
    <row r="186" spans="1:16" ht="16" customHeight="1" x14ac:dyDescent="0.2">
      <c r="A186">
        <v>40</v>
      </c>
      <c r="B186">
        <v>10</v>
      </c>
      <c r="C186">
        <v>20</v>
      </c>
      <c r="D186">
        <v>5</v>
      </c>
      <c r="E186">
        <v>5</v>
      </c>
      <c r="F186">
        <v>0.6</v>
      </c>
      <c r="G186">
        <v>322.79216554520002</v>
      </c>
      <c r="H186">
        <v>1265.4383116690501</v>
      </c>
      <c r="I186">
        <v>12.462417608411201</v>
      </c>
      <c r="J186">
        <v>12.9008351694907</v>
      </c>
      <c r="K186">
        <v>3951.07712146837</v>
      </c>
      <c r="L186">
        <v>4048.2036531427402</v>
      </c>
      <c r="M186">
        <v>0.03</v>
      </c>
      <c r="N186">
        <v>108.75638875281599</v>
      </c>
      <c r="O186">
        <v>2740.34103693006</v>
      </c>
      <c r="P186">
        <v>62.479269360214602</v>
      </c>
    </row>
    <row r="187" spans="1:16" ht="16" customHeight="1" x14ac:dyDescent="0.2">
      <c r="A187">
        <v>40</v>
      </c>
      <c r="B187">
        <v>10</v>
      </c>
      <c r="C187">
        <v>20</v>
      </c>
      <c r="D187">
        <v>5</v>
      </c>
      <c r="E187">
        <v>5</v>
      </c>
      <c r="F187">
        <v>0.6</v>
      </c>
      <c r="G187">
        <v>322.79216554520002</v>
      </c>
      <c r="H187">
        <v>1265.4383116690501</v>
      </c>
      <c r="I187">
        <v>12.462417608411201</v>
      </c>
      <c r="J187">
        <v>12.9008351694907</v>
      </c>
      <c r="K187">
        <v>3951.07712146837</v>
      </c>
      <c r="L187">
        <v>4048.2036531427402</v>
      </c>
      <c r="M187">
        <v>3.5000000000000003E-2</v>
      </c>
      <c r="N187">
        <v>83.603117789684504</v>
      </c>
      <c r="O187">
        <v>2740.34103693006</v>
      </c>
      <c r="P187">
        <v>49.292569223846002</v>
      </c>
    </row>
    <row r="188" spans="1:16" ht="16" customHeight="1" x14ac:dyDescent="0.2">
      <c r="A188">
        <v>40</v>
      </c>
      <c r="B188">
        <v>10</v>
      </c>
      <c r="C188">
        <v>20</v>
      </c>
      <c r="D188">
        <v>5</v>
      </c>
      <c r="E188">
        <v>5</v>
      </c>
      <c r="F188">
        <v>0.6</v>
      </c>
      <c r="G188">
        <v>322.79216554520002</v>
      </c>
      <c r="H188">
        <v>1265.4383116690501</v>
      </c>
      <c r="I188">
        <v>12.462417608411201</v>
      </c>
      <c r="J188">
        <v>12.9008351694907</v>
      </c>
      <c r="K188">
        <v>3951.07712146837</v>
      </c>
      <c r="L188">
        <v>4048.2036531427402</v>
      </c>
      <c r="M188">
        <v>0.04</v>
      </c>
      <c r="N188">
        <v>65.060947857331598</v>
      </c>
      <c r="O188">
        <v>2740.34103693006</v>
      </c>
      <c r="P188">
        <v>39.323865382938102</v>
      </c>
    </row>
    <row r="189" spans="1:16" ht="16" customHeight="1" x14ac:dyDescent="0.2">
      <c r="A189">
        <v>40</v>
      </c>
      <c r="B189">
        <v>10</v>
      </c>
      <c r="C189">
        <v>20</v>
      </c>
      <c r="D189">
        <v>5</v>
      </c>
      <c r="E189">
        <v>5</v>
      </c>
      <c r="F189">
        <v>0.6</v>
      </c>
      <c r="G189">
        <v>322.79216554520002</v>
      </c>
      <c r="H189">
        <v>1265.4383116690501</v>
      </c>
      <c r="I189">
        <v>12.462417608411201</v>
      </c>
      <c r="J189">
        <v>12.9008351694907</v>
      </c>
      <c r="K189">
        <v>3951.07712146837</v>
      </c>
      <c r="L189">
        <v>4048.2036531427402</v>
      </c>
      <c r="M189">
        <v>0.05</v>
      </c>
      <c r="N189">
        <v>40.746337338686999</v>
      </c>
      <c r="O189">
        <v>2740.34103693006</v>
      </c>
      <c r="P189">
        <v>25.796795292035899</v>
      </c>
    </row>
    <row r="190" spans="1:16" ht="16" customHeight="1" x14ac:dyDescent="0.2">
      <c r="A190">
        <v>40</v>
      </c>
      <c r="B190">
        <v>10</v>
      </c>
      <c r="C190">
        <v>20</v>
      </c>
      <c r="D190">
        <v>5</v>
      </c>
      <c r="E190">
        <v>5</v>
      </c>
      <c r="F190">
        <v>0.6</v>
      </c>
      <c r="G190">
        <v>322.79216554520002</v>
      </c>
      <c r="H190">
        <v>1265.4383116690501</v>
      </c>
      <c r="I190">
        <v>12.462417608411201</v>
      </c>
      <c r="J190">
        <v>12.9008351694907</v>
      </c>
      <c r="K190">
        <v>3951.07712146837</v>
      </c>
      <c r="L190">
        <v>4048.2036531427402</v>
      </c>
      <c r="M190">
        <v>0.06</v>
      </c>
      <c r="N190">
        <v>26.525332298749401</v>
      </c>
      <c r="O190">
        <v>2740.34103693006</v>
      </c>
      <c r="P190">
        <v>17.532306524780399</v>
      </c>
    </row>
    <row r="191" spans="1:16" ht="16" customHeight="1" x14ac:dyDescent="0.2">
      <c r="A191">
        <v>65</v>
      </c>
      <c r="B191">
        <v>10</v>
      </c>
      <c r="C191">
        <v>20</v>
      </c>
      <c r="D191">
        <v>2.5</v>
      </c>
      <c r="E191">
        <v>2.5</v>
      </c>
      <c r="F191">
        <v>0.6</v>
      </c>
      <c r="G191">
        <v>135.44597576376401</v>
      </c>
      <c r="H191">
        <v>466.93837735368999</v>
      </c>
      <c r="I191">
        <v>5.6236576150313402</v>
      </c>
      <c r="J191">
        <v>5.6236576150313402</v>
      </c>
      <c r="K191">
        <v>1696.76471092524</v>
      </c>
      <c r="L191">
        <v>1894.73623063271</v>
      </c>
      <c r="M191">
        <v>0.01</v>
      </c>
      <c r="N191">
        <v>131.882906860324</v>
      </c>
      <c r="O191">
        <v>1095.25272095783</v>
      </c>
      <c r="P191">
        <v>61.250003832076203</v>
      </c>
    </row>
    <row r="192" spans="1:16" ht="16" customHeight="1" x14ac:dyDescent="0.2">
      <c r="A192">
        <v>65</v>
      </c>
      <c r="B192">
        <v>10</v>
      </c>
      <c r="C192">
        <v>20</v>
      </c>
      <c r="D192">
        <v>2.5</v>
      </c>
      <c r="E192">
        <v>2.5</v>
      </c>
      <c r="F192">
        <v>0.6</v>
      </c>
      <c r="G192">
        <v>135.44597576376401</v>
      </c>
      <c r="H192">
        <v>466.93837735368999</v>
      </c>
      <c r="I192">
        <v>5.6236576150313402</v>
      </c>
      <c r="J192">
        <v>5.6236576150313402</v>
      </c>
      <c r="K192">
        <v>1696.76471092524</v>
      </c>
      <c r="L192">
        <v>1894.73623063271</v>
      </c>
      <c r="M192">
        <v>0.02</v>
      </c>
      <c r="N192">
        <v>72.832605703006806</v>
      </c>
      <c r="O192">
        <v>1095.25272095783</v>
      </c>
      <c r="P192">
        <v>35.985885594352503</v>
      </c>
    </row>
    <row r="193" spans="1:16" ht="16" customHeight="1" x14ac:dyDescent="0.2">
      <c r="A193">
        <v>65</v>
      </c>
      <c r="B193">
        <v>10</v>
      </c>
      <c r="C193">
        <v>20</v>
      </c>
      <c r="D193">
        <v>2.5</v>
      </c>
      <c r="E193">
        <v>2.5</v>
      </c>
      <c r="F193">
        <v>0.6</v>
      </c>
      <c r="G193">
        <v>135.44597576376401</v>
      </c>
      <c r="H193">
        <v>466.93837735368999</v>
      </c>
      <c r="I193">
        <v>5.6236576150313402</v>
      </c>
      <c r="J193">
        <v>5.6236576150313402</v>
      </c>
      <c r="K193">
        <v>1696.76471092524</v>
      </c>
      <c r="L193">
        <v>1894.73623063271</v>
      </c>
      <c r="M193">
        <v>0.03</v>
      </c>
      <c r="N193">
        <v>42.592649850519699</v>
      </c>
      <c r="O193">
        <v>1095.25272095783</v>
      </c>
      <c r="P193">
        <v>22.249678828208602</v>
      </c>
    </row>
    <row r="194" spans="1:16" ht="16" customHeight="1" x14ac:dyDescent="0.2">
      <c r="A194">
        <v>65</v>
      </c>
      <c r="B194">
        <v>10</v>
      </c>
      <c r="C194">
        <v>20</v>
      </c>
      <c r="D194">
        <v>2.5</v>
      </c>
      <c r="E194">
        <v>2.5</v>
      </c>
      <c r="F194">
        <v>0.6</v>
      </c>
      <c r="G194">
        <v>135.44597576376401</v>
      </c>
      <c r="H194">
        <v>466.93837735368999</v>
      </c>
      <c r="I194">
        <v>5.6236576150313402</v>
      </c>
      <c r="J194">
        <v>5.6236576150313402</v>
      </c>
      <c r="K194">
        <v>1696.76471092524</v>
      </c>
      <c r="L194">
        <v>1894.73623063271</v>
      </c>
      <c r="M194">
        <v>3.5000000000000003E-2</v>
      </c>
      <c r="N194">
        <v>33.2347331198281</v>
      </c>
      <c r="O194">
        <v>1095.25272095783</v>
      </c>
      <c r="P194">
        <v>17.800543338513702</v>
      </c>
    </row>
    <row r="195" spans="1:16" ht="16" customHeight="1" x14ac:dyDescent="0.2">
      <c r="A195">
        <v>65</v>
      </c>
      <c r="B195">
        <v>10</v>
      </c>
      <c r="C195">
        <v>20</v>
      </c>
      <c r="D195">
        <v>2.5</v>
      </c>
      <c r="E195">
        <v>2.5</v>
      </c>
      <c r="F195">
        <v>0.6</v>
      </c>
      <c r="G195">
        <v>135.44597576376401</v>
      </c>
      <c r="H195">
        <v>466.93837735368999</v>
      </c>
      <c r="I195">
        <v>5.6236576150313402</v>
      </c>
      <c r="J195">
        <v>5.6236576150313402</v>
      </c>
      <c r="K195">
        <v>1696.76471092524</v>
      </c>
      <c r="L195">
        <v>1894.73623063271</v>
      </c>
      <c r="M195">
        <v>0.04</v>
      </c>
      <c r="N195">
        <v>26.257015589116701</v>
      </c>
      <c r="O195">
        <v>1095.25272095783</v>
      </c>
      <c r="P195">
        <v>14.3908004466652</v>
      </c>
    </row>
    <row r="196" spans="1:16" ht="16" customHeight="1" x14ac:dyDescent="0.2">
      <c r="A196">
        <v>65</v>
      </c>
      <c r="B196">
        <v>10</v>
      </c>
      <c r="C196">
        <v>20</v>
      </c>
      <c r="D196">
        <v>2.5</v>
      </c>
      <c r="E196">
        <v>2.5</v>
      </c>
      <c r="F196">
        <v>0.6</v>
      </c>
      <c r="G196">
        <v>135.44597576376401</v>
      </c>
      <c r="H196">
        <v>466.93837735368999</v>
      </c>
      <c r="I196">
        <v>5.6236576150313402</v>
      </c>
      <c r="J196">
        <v>5.6236576150313402</v>
      </c>
      <c r="K196">
        <v>1696.76471092524</v>
      </c>
      <c r="L196">
        <v>1894.73623063271</v>
      </c>
      <c r="M196">
        <v>0.05</v>
      </c>
      <c r="N196">
        <v>16.950205368655698</v>
      </c>
      <c r="O196">
        <v>1095.25272095783</v>
      </c>
      <c r="P196">
        <v>9.6741120146911594</v>
      </c>
    </row>
    <row r="197" spans="1:16" ht="16" customHeight="1" x14ac:dyDescent="0.2">
      <c r="A197">
        <v>65</v>
      </c>
      <c r="B197">
        <v>10</v>
      </c>
      <c r="C197">
        <v>20</v>
      </c>
      <c r="D197">
        <v>2.5</v>
      </c>
      <c r="E197">
        <v>2.5</v>
      </c>
      <c r="F197">
        <v>0.6</v>
      </c>
      <c r="G197">
        <v>135.44597576376401</v>
      </c>
      <c r="H197">
        <v>466.93837735368999</v>
      </c>
      <c r="I197">
        <v>5.6236576150313402</v>
      </c>
      <c r="J197">
        <v>5.6236576150313402</v>
      </c>
      <c r="K197">
        <v>1696.76471092524</v>
      </c>
      <c r="L197">
        <v>1894.73623063271</v>
      </c>
      <c r="M197">
        <v>0.06</v>
      </c>
      <c r="N197">
        <v>11.372368669887001</v>
      </c>
      <c r="O197">
        <v>1095.25272095783</v>
      </c>
      <c r="P197">
        <v>6.7178563813412104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0719-0289-E84B-8A0C-3CBBF77D06FB}">
  <dimension ref="A1:W68"/>
  <sheetViews>
    <sheetView topLeftCell="I1" workbookViewId="0">
      <selection activeCell="T32" sqref="T32"/>
    </sheetView>
  </sheetViews>
  <sheetFormatPr baseColWidth="10" defaultRowHeight="16" x14ac:dyDescent="0.2"/>
  <cols>
    <col min="3" max="3" width="18.6640625" customWidth="1"/>
    <col min="6" max="9" width="14.83203125" customWidth="1"/>
    <col min="10" max="10" width="12.83203125" customWidth="1"/>
    <col min="11" max="11" width="15.1640625" customWidth="1"/>
    <col min="12" max="14" width="14.83203125" customWidth="1"/>
  </cols>
  <sheetData>
    <row r="1" spans="1:23" x14ac:dyDescent="0.2">
      <c r="I1" s="7"/>
      <c r="J1" t="s">
        <v>9</v>
      </c>
      <c r="K1" t="s">
        <v>12</v>
      </c>
      <c r="L1" t="s">
        <v>8</v>
      </c>
      <c r="M1" t="s">
        <v>10</v>
      </c>
      <c r="N1" t="s">
        <v>11</v>
      </c>
      <c r="P1" t="s">
        <v>3</v>
      </c>
      <c r="Q1" t="s">
        <v>4</v>
      </c>
      <c r="R1" t="s">
        <v>5</v>
      </c>
      <c r="S1" t="s">
        <v>1</v>
      </c>
      <c r="T1" t="s">
        <v>2</v>
      </c>
      <c r="U1" s="7" t="s">
        <v>0</v>
      </c>
    </row>
    <row r="2" spans="1:23" ht="68" x14ac:dyDescent="0.2">
      <c r="A2" s="21" t="s">
        <v>14</v>
      </c>
      <c r="B2" s="21" t="s">
        <v>15</v>
      </c>
      <c r="C2" s="21" t="s">
        <v>16</v>
      </c>
      <c r="D2" s="21" t="s">
        <v>18</v>
      </c>
      <c r="E2" s="21" t="s">
        <v>17</v>
      </c>
      <c r="F2" s="21" t="s">
        <v>19</v>
      </c>
      <c r="G2" s="21" t="s">
        <v>20</v>
      </c>
      <c r="H2" s="21" t="s">
        <v>21</v>
      </c>
      <c r="I2" s="21" t="s">
        <v>30</v>
      </c>
      <c r="J2" s="21" t="s">
        <v>22</v>
      </c>
      <c r="K2" s="1" t="s">
        <v>23</v>
      </c>
      <c r="L2" s="2" t="s">
        <v>173</v>
      </c>
      <c r="M2" s="5" t="s">
        <v>49</v>
      </c>
      <c r="N2" s="5" t="s">
        <v>41</v>
      </c>
      <c r="O2" s="31" t="s">
        <v>24</v>
      </c>
      <c r="P2" s="31" t="s">
        <v>25</v>
      </c>
      <c r="Q2" s="31" t="s">
        <v>26</v>
      </c>
      <c r="R2" s="31" t="s">
        <v>27</v>
      </c>
      <c r="S2" s="8"/>
      <c r="T2" s="8"/>
      <c r="U2" s="8"/>
      <c r="V2" s="8"/>
      <c r="W2" s="8"/>
    </row>
    <row r="3" spans="1:23" x14ac:dyDescent="0.2">
      <c r="A3" s="8">
        <v>5</v>
      </c>
      <c r="B3" s="8">
        <v>1</v>
      </c>
      <c r="C3" s="8" t="s">
        <v>28</v>
      </c>
      <c r="D3" s="8">
        <v>1</v>
      </c>
      <c r="E3" s="8">
        <v>1</v>
      </c>
      <c r="F3" s="8">
        <v>0.2</v>
      </c>
      <c r="G3" s="8">
        <v>0.7</v>
      </c>
      <c r="H3" s="8">
        <v>0</v>
      </c>
      <c r="I3" s="8" t="str">
        <f>CONCATENATE(U3,"+")</f>
        <v>40+</v>
      </c>
      <c r="J3" s="8" t="str">
        <f>IF(V3&gt;1000,_xlfn.CONCAT(TEXT(V3/1000,"$#.0"),"T"),_xlfn.CONCAT(TEXT(V3,"$#"),"B"))</f>
        <v>$201B</v>
      </c>
      <c r="K3" s="8" t="str">
        <f>_xlfn.CONCAT(TEXT(SUMIFS(raw_output!$N$2:$N$197,raw_output!$M$2:$M$197,'Overall Output. Labeled'!$N3,raw_output!$A$2:$A$197,'Overall Output. Labeled'!$U3,raw_output!$B$2:$B$197,'Overall Output. Labeled'!$S3,raw_output!$C$2:$C$197,'Overall Output. Labeled'!$T3,raw_output!$D$2:$D$197,'Overall Output. Labeled'!$P3,raw_output!$E$2:$E$197,'Overall Output. Labeled'!$Q3,raw_output!$F$2:$F$197,'Overall Output. Labeled'!$R3),"$#.0"),"T")</f>
        <v>$8.9T</v>
      </c>
      <c r="L3" s="8" t="str">
        <f>IF(W3&gt;1000,_xlfn.CONCAT(TEXT(W3/1000,"#.#"),"M"),_xlfn.CONCAT(TEXT(W3,"#"),"k"))</f>
        <v>268k</v>
      </c>
      <c r="M3" s="8" t="str">
        <f>TEXT(SUMIFS(raw_output!$L$2:$L$197,raw_output!$M$2:$M$197,'Overall Output. Labeled'!$N3,raw_output!$A$2:$A$197,'Overall Output. Labeled'!$U3,raw_output!$B$2:$B$197,'Overall Output. Labeled'!$S3,raw_output!$C$2:$C$197,'Overall Output. Labeled'!$T3,raw_output!$D$2:$D$197,'Overall Output. Labeled'!$P3,raw_output!$E$2:$E$197,'Overall Output. Labeled'!$Q3,raw_output!$F$2:$F$197,'Overall Output. Labeled'!$R3),"$#.##")</f>
        <v>$507.82</v>
      </c>
      <c r="N3" s="8">
        <v>0.02</v>
      </c>
      <c r="O3" s="8">
        <v>0.5</v>
      </c>
      <c r="P3" s="8">
        <f t="shared" ref="P3:R6" si="0">F3*$O3</f>
        <v>0.1</v>
      </c>
      <c r="Q3" s="8">
        <f>G3*$O3</f>
        <v>0.35</v>
      </c>
      <c r="R3" s="8">
        <f t="shared" si="0"/>
        <v>0</v>
      </c>
      <c r="S3" s="8">
        <v>10</v>
      </c>
      <c r="T3" s="8">
        <v>20</v>
      </c>
      <c r="U3" s="8">
        <v>40</v>
      </c>
      <c r="V3" s="8">
        <f>SUMIFS(raw_output!$K$2:$K$197,raw_output!$A$2:$A$197,'Overall Output. Labeled'!$U3,raw_output!$B$2:$B$197,'Overall Output. Labeled'!$S3,raw_output!$C$2:$C$197,'Overall Output. Labeled'!$T3,raw_output!$D$2:$D$197,'Overall Output. Labeled'!$P3,raw_output!$E$2:$E$197,'Overall Output. Labeled'!$Q3,raw_output!$F$2:$F$197,'Overall Output. Labeled'!$R3,raw_output!$M$2:$M$197,'Overall Output. Labeled'!$N3)</f>
        <v>201.289900032801</v>
      </c>
      <c r="W3" s="8">
        <f>SUMIFS(raw_output!$J$2:$J$197,raw_output!$M$2:$M$197,'Overall Output. Labeled'!$N3,raw_output!$A$2:$A$197,'Overall Output. Labeled'!$U3,raw_output!$B$2:$B$197,'Overall Output. Labeled'!$S3,raw_output!$C$2:$C$197,'Overall Output. Labeled'!$T3,raw_output!$D$2:$D$197,'Overall Output. Labeled'!$P3,raw_output!$E$2:$E$197,'Overall Output. Labeled'!$Q3,raw_output!$F$2:$F$197,'Overall Output. Labeled'!$R3)*1000</f>
        <v>268.12770050815601</v>
      </c>
    </row>
    <row r="4" spans="1:23" x14ac:dyDescent="0.2">
      <c r="A4" s="8">
        <v>6</v>
      </c>
      <c r="B4" s="8">
        <v>2</v>
      </c>
      <c r="C4" s="8" t="s">
        <v>29</v>
      </c>
      <c r="D4" s="8">
        <v>3</v>
      </c>
      <c r="E4" s="8">
        <v>3</v>
      </c>
      <c r="F4" s="8">
        <v>0.02</v>
      </c>
      <c r="G4" s="8">
        <v>0.1</v>
      </c>
      <c r="H4" s="8">
        <v>1</v>
      </c>
      <c r="I4" s="8" t="str">
        <f t="shared" ref="I4:I34" si="1">CONCATENATE(U4,"+")</f>
        <v>40+</v>
      </c>
      <c r="J4" s="8" t="str">
        <f>IF(V4&gt;1000,_xlfn.CONCAT(TEXT(V4/1000,"$#.0"),"T"),_xlfn.CONCAT(TEXT(V4,"$#"),"B"))</f>
        <v>$9B</v>
      </c>
      <c r="K4" s="8" t="str">
        <f>_xlfn.CONCAT(TEXT(SUMIFS(raw_output!$N$2:$N$197,raw_output!$M$2:$M$197,'Overall Output. Labeled'!$N4,raw_output!$A$2:$A$197,'Overall Output. Labeled'!$U4,raw_output!$B$2:$B$197,'Overall Output. Labeled'!$S4,raw_output!$C$2:$C$197,'Overall Output. Labeled'!$T4,raw_output!$D$2:$D$197,'Overall Output. Labeled'!$P4,raw_output!$E$2:$E$197,'Overall Output. Labeled'!$Q4,raw_output!$F$2:$F$197,'Overall Output. Labeled'!$R4),"$#.0"),"T")</f>
        <v>$9.3T</v>
      </c>
      <c r="L4" s="8" t="str">
        <f t="shared" ref="L4:L12" si="2">IF(W4&gt;1000,_xlfn.CONCAT(TEXT(W4/1000,"#.#"),"M"),_xlfn.CONCAT(TEXT(W4,"#"),"k"))</f>
        <v>391k</v>
      </c>
      <c r="M4" s="8" t="str">
        <f>TEXT(SUMIFS(raw_output!$L$2:$L$197,raw_output!$M$2:$M$197,'Overall Output. Labeled'!$N4,raw_output!$A$2:$A$197,'Overall Output. Labeled'!$U4,raw_output!$B$2:$B$197,'Overall Output. Labeled'!$S4,raw_output!$C$2:$C$197,'Overall Output. Labeled'!$T4,raw_output!$D$2:$D$197,'Overall Output. Labeled'!$P4,raw_output!$E$2:$E$197,'Overall Output. Labeled'!$Q4,raw_output!$F$2:$F$197,'Overall Output. Labeled'!$R4),"$#.##")</f>
        <v>-$5.25</v>
      </c>
      <c r="N4" s="8">
        <v>0.02</v>
      </c>
      <c r="O4" s="8">
        <v>0.5</v>
      </c>
      <c r="P4" s="8">
        <f t="shared" si="0"/>
        <v>0.01</v>
      </c>
      <c r="Q4" s="8">
        <f>G4*$O4</f>
        <v>0.05</v>
      </c>
      <c r="R4" s="8">
        <f t="shared" si="0"/>
        <v>0.5</v>
      </c>
      <c r="S4" s="8">
        <v>10</v>
      </c>
      <c r="T4" s="8">
        <v>20</v>
      </c>
      <c r="U4" s="8">
        <v>40</v>
      </c>
      <c r="V4" s="8">
        <f>SUMIFS(raw_output!$K$2:$K$197,raw_output!$A$2:$A$197,'Overall Output. Labeled'!$U4,raw_output!$B$2:$B$197,'Overall Output. Labeled'!$S4,raw_output!$C$2:$C$197,'Overall Output. Labeled'!$T4,raw_output!$D$2:$D$197,'Overall Output. Labeled'!$P4,raw_output!$E$2:$E$197,'Overall Output. Labeled'!$Q4,raw_output!$F$2:$F$197,'Overall Output. Labeled'!$R4,raw_output!$M$2:$M$197,'Overall Output. Labeled'!$N4)</f>
        <v>9.0672975647574798</v>
      </c>
      <c r="W4" s="8">
        <f t="array" ref="W4">SUMIFS(raw_output!$J$2:$J$197,raw_output!$M$2:$M$197,'Overall Output. Labeled'!$N4,raw_output!$A$2:$A$197,'Overall Output. Labeled'!$U4,raw_output!$B$2:$B$197,'Overall Output. Labeled'!$S4,raw_output!$C$2:$C$197,'Overall Output. Labeled'!$T4,raw_output!$D$2:$D$197,'Overall Output. Labeled'!$P4,raw_output!$E$2:$E$197,'Overall Output. Labeled'!$Q4,raw_output!$F$2:$F$197,'Overall Output. Labeled'!$R4)*1000</f>
        <v>391.367610078864</v>
      </c>
    </row>
    <row r="5" spans="1:23" x14ac:dyDescent="0.2">
      <c r="A5" s="8">
        <v>7</v>
      </c>
      <c r="B5" s="8">
        <v>3</v>
      </c>
      <c r="C5" s="8" t="s">
        <v>31</v>
      </c>
      <c r="D5" s="8">
        <v>4</v>
      </c>
      <c r="E5" s="8">
        <v>4</v>
      </c>
      <c r="F5" s="8">
        <v>0.44</v>
      </c>
      <c r="G5" s="8">
        <v>0</v>
      </c>
      <c r="H5" s="8">
        <v>0</v>
      </c>
      <c r="I5" s="8" t="str">
        <f t="shared" si="1"/>
        <v>40+</v>
      </c>
      <c r="J5" s="8" t="str">
        <f>IF(V5&gt;1000,_xlfn.CONCAT(TEXT(V5/1000,"$#.0"),"T"),_xlfn.CONCAT(TEXT(V5,"$#"),"B"))</f>
        <v>$118B</v>
      </c>
      <c r="K5" s="8" t="str">
        <f>_xlfn.CONCAT(TEXT(SUMIFS(raw_output!$N$2:$N$197,raw_output!$M$2:$M$197,'Overall Output. Labeled'!$N5,raw_output!$A$2:$A$197,'Overall Output. Labeled'!$U5,raw_output!$B$2:$B$197,'Overall Output. Labeled'!$S5,raw_output!$C$2:$C$197,'Overall Output. Labeled'!$T5,raw_output!$D$2:$D$197,'Overall Output. Labeled'!$P5,raw_output!$E$2:$E$197,'Overall Output. Labeled'!$Q5,raw_output!$F$2:$F$197,'Overall Output. Labeled'!$R5),"$#.0"),"T")</f>
        <v>$6.8T</v>
      </c>
      <c r="L5" s="8" t="str">
        <f t="shared" si="2"/>
        <v>1.2M</v>
      </c>
      <c r="M5" s="8" t="str">
        <f>TEXT(SUMIFS(raw_output!$L$2:$L$197,raw_output!$M$2:$M$197,'Overall Output. Labeled'!$N5,raw_output!$A$2:$A$197,'Overall Output. Labeled'!$U5,raw_output!$B$2:$B$197,'Overall Output. Labeled'!$S5,raw_output!$C$2:$C$197,'Overall Output. Labeled'!$T5,raw_output!$D$2:$D$197,'Overall Output. Labeled'!$P5,raw_output!$E$2:$E$197,'Overall Output. Labeled'!$Q5,raw_output!$F$2:$F$197,'Overall Output. Labeled'!$R5),"$#.##")</f>
        <v>-$436.88</v>
      </c>
      <c r="N5" s="8">
        <v>0.02</v>
      </c>
      <c r="O5" s="8">
        <v>1</v>
      </c>
      <c r="P5" s="8">
        <f t="shared" si="0"/>
        <v>0.44</v>
      </c>
      <c r="Q5" s="8">
        <f t="shared" si="0"/>
        <v>0</v>
      </c>
      <c r="R5" s="8">
        <f t="shared" si="0"/>
        <v>0</v>
      </c>
      <c r="S5" s="8">
        <v>10</v>
      </c>
      <c r="T5" s="8">
        <v>20</v>
      </c>
      <c r="U5" s="8">
        <v>40</v>
      </c>
      <c r="V5" s="8">
        <f>SUMIFS(raw_output!$K$2:$K$197,raw_output!$A$2:$A$197,'Overall Output. Labeled'!$U5,raw_output!$B$2:$B$197,'Overall Output. Labeled'!$S5,raw_output!$C$2:$C$197,'Overall Output. Labeled'!$T5,raw_output!$D$2:$D$197,'Overall Output. Labeled'!$P5,raw_output!$E$2:$E$197,'Overall Output. Labeled'!$Q5,raw_output!$F$2:$F$197,'Overall Output. Labeled'!$R5,raw_output!$M$2:$M$197,'Overall Output. Labeled'!$N5)</f>
        <v>118.19971797090101</v>
      </c>
      <c r="W5" s="8">
        <f t="array" ref="W5">SUMIFS(raw_output!$J$2:$J$197,raw_output!$M$2:$M$197,'Overall Output. Labeled'!$N5,raw_output!$A$2:$A$197,'Overall Output. Labeled'!$U5,raw_output!$B$2:$B$197,'Overall Output. Labeled'!$S5,raw_output!$C$2:$C$197,'Overall Output. Labeled'!$T5,raw_output!$D$2:$D$197,'Overall Output. Labeled'!$P5,raw_output!$E$2:$E$197,'Overall Output. Labeled'!$Q5,raw_output!$F$2:$F$197,'Overall Output. Labeled'!$R5)*1000</f>
        <v>1193.12554542465</v>
      </c>
    </row>
    <row r="6" spans="1:23" x14ac:dyDescent="0.2">
      <c r="A6" s="8">
        <v>7</v>
      </c>
      <c r="B6" s="8">
        <v>3</v>
      </c>
      <c r="C6" s="8" t="s">
        <v>32</v>
      </c>
      <c r="D6" s="8">
        <v>4</v>
      </c>
      <c r="E6" s="8">
        <v>4</v>
      </c>
      <c r="F6" s="8">
        <v>0.22</v>
      </c>
      <c r="G6" s="8">
        <v>0</v>
      </c>
      <c r="H6" s="8">
        <v>0</v>
      </c>
      <c r="I6" s="8" t="str">
        <f t="shared" si="1"/>
        <v>40+</v>
      </c>
      <c r="J6" s="8" t="str">
        <f>IF(V6&gt;1000,_xlfn.CONCAT(TEXT(V6/1000,"$#.0"),"T"),_xlfn.CONCAT(TEXT(V6,"$#"),"B"))</f>
        <v>$50B</v>
      </c>
      <c r="K6" s="8" t="str">
        <f>_xlfn.CONCAT(TEXT(SUMIFS(raw_output!$N$2:$N$197,raw_output!$M$2:$M$197,'Overall Output. Labeled'!$N6,raw_output!$A$2:$A$197,'Overall Output. Labeled'!$U6,raw_output!$B$2:$B$197,'Overall Output. Labeled'!$S6,raw_output!$C$2:$C$197,'Overall Output. Labeled'!$T6,raw_output!$D$2:$D$197,'Overall Output. Labeled'!$P6,raw_output!$E$2:$E$197,'Overall Output. Labeled'!$Q6,raw_output!$F$2:$F$197,'Overall Output. Labeled'!$R6),"$#.0"),"T")</f>
        <v>$3.2T</v>
      </c>
      <c r="L6" s="8" t="str">
        <f t="shared" si="2"/>
        <v>592k</v>
      </c>
      <c r="M6" s="8" t="str">
        <f>TEXT(SUMIFS(raw_output!$L$2:$L$197,raw_output!$M$2:$M$197,'Overall Output. Labeled'!$N6,raw_output!$A$2:$A$197,'Overall Output. Labeled'!$U6,raw_output!$B$2:$B$197,'Overall Output. Labeled'!$S6,raw_output!$C$2:$C$197,'Overall Output. Labeled'!$T6,raw_output!$D$2:$D$197,'Overall Output. Labeled'!$P6,raw_output!$E$2:$E$197,'Overall Output. Labeled'!$Q6,raw_output!$F$2:$F$197,'Overall Output. Labeled'!$R6),"$#.##")</f>
        <v>-$247.15</v>
      </c>
      <c r="N6" s="8">
        <v>0.02</v>
      </c>
      <c r="O6" s="8">
        <v>1</v>
      </c>
      <c r="P6" s="8">
        <f t="shared" si="0"/>
        <v>0.22</v>
      </c>
      <c r="Q6" s="8">
        <f t="shared" si="0"/>
        <v>0</v>
      </c>
      <c r="R6" s="8">
        <f t="shared" si="0"/>
        <v>0</v>
      </c>
      <c r="S6" s="8">
        <v>10</v>
      </c>
      <c r="T6" s="8">
        <v>20</v>
      </c>
      <c r="U6" s="8">
        <v>40</v>
      </c>
      <c r="V6" s="8">
        <f>SUMIFS(raw_output!$K$2:$K$197,raw_output!$A$2:$A$197,'Overall Output. Labeled'!$U6,raw_output!$B$2:$B$197,'Overall Output. Labeled'!$S6,raw_output!$C$2:$C$197,'Overall Output. Labeled'!$T6,raw_output!$D$2:$D$197,'Overall Output. Labeled'!$P6,raw_output!$E$2:$E$197,'Overall Output. Labeled'!$Q6,raw_output!$F$2:$F$197,'Overall Output. Labeled'!$R6,raw_output!$M$2:$M$197,'Overall Output. Labeled'!$N6)</f>
        <v>49.515117478644598</v>
      </c>
      <c r="W6" s="8">
        <f t="array" ref="W6">SUMIFS(raw_output!$J$2:$J$197,raw_output!$M$2:$M$197,'Overall Output. Labeled'!$N6,raw_output!$A$2:$A$197,'Overall Output. Labeled'!$U6,raw_output!$B$2:$B$197,'Overall Output. Labeled'!$S6,raw_output!$C$2:$C$197,'Overall Output. Labeled'!$T6,raw_output!$D$2:$D$197,'Overall Output. Labeled'!$P6,raw_output!$E$2:$E$197,'Overall Output. Labeled'!$Q6,raw_output!$F$2:$F$197,'Overall Output. Labeled'!$R6)*1000</f>
        <v>592.22110078507797</v>
      </c>
    </row>
    <row r="7" spans="1:23" x14ac:dyDescent="0.2">
      <c r="A7" s="8">
        <v>8</v>
      </c>
      <c r="B7" s="8">
        <v>4</v>
      </c>
      <c r="C7" s="8" t="s">
        <v>33</v>
      </c>
      <c r="D7" s="8" t="s">
        <v>34</v>
      </c>
      <c r="E7" s="8"/>
      <c r="F7" s="8">
        <v>0.82</v>
      </c>
      <c r="G7" s="8">
        <v>0.72699999999999998</v>
      </c>
      <c r="H7" s="8">
        <v>0</v>
      </c>
      <c r="I7" s="8" t="str">
        <f t="shared" si="1"/>
        <v>65+</v>
      </c>
      <c r="J7" s="8" t="str">
        <f t="shared" ref="J7:J11" si="3">IF(V7&gt;1000,_xlfn.CONCAT(TEXT(V7/1000,"$#.0"),"T"),_xlfn.CONCAT(TEXT(V7,"$#"),"B"))</f>
        <v>$40B</v>
      </c>
      <c r="K7" s="8" t="str">
        <f>_xlfn.CONCAT(TEXT(SUMIFS(raw_output!$N$2:$N$197,raw_output!$M$2:$M$197,'Overall Output. Labeled'!$N7,raw_output!$A$2:$A$197,'Overall Output. Labeled'!$U7,raw_output!$B$2:$B$197,'Overall Output. Labeled'!$S7,raw_output!$C$2:$C$197,'Overall Output. Labeled'!$T7,raw_output!$D$2:$D$197,'Overall Output. Labeled'!$P7,raw_output!$E$2:$E$197,'Overall Output. Labeled'!$Q7,raw_output!$F$2:$F$197,'Overall Output. Labeled'!$R7),"$#.0"),"T")</f>
        <v>$2.4T</v>
      </c>
      <c r="L7" s="8" t="str">
        <f t="shared" si="2"/>
        <v>275k</v>
      </c>
      <c r="M7" s="8" t="str">
        <f>TEXT(SUMIFS(raw_output!$L$2:$L$197,raw_output!$M$2:$M$197,'Overall Output. Labeled'!$N7,raw_output!$A$2:$A$197,'Overall Output. Labeled'!$U7,raw_output!$B$2:$B$197,'Overall Output. Labeled'!$S7,raw_output!$C$2:$C$197,'Overall Output. Labeled'!$T7,raw_output!$D$2:$D$197,'Overall Output. Labeled'!$P7,raw_output!$E$2:$E$197,'Overall Output. Labeled'!$Q7,raw_output!$F$2:$F$197,'Overall Output. Labeled'!$R7),"$#.##")</f>
        <v>-$19.85</v>
      </c>
      <c r="N7" s="8">
        <v>0.02</v>
      </c>
      <c r="O7" s="8">
        <v>0.11</v>
      </c>
      <c r="P7" s="34">
        <v>0.09</v>
      </c>
      <c r="Q7" s="34">
        <v>0.08</v>
      </c>
      <c r="R7" s="8">
        <f>H7*$O7</f>
        <v>0</v>
      </c>
      <c r="S7" s="8">
        <v>5</v>
      </c>
      <c r="T7" s="8">
        <v>10</v>
      </c>
      <c r="U7" s="8">
        <v>65</v>
      </c>
      <c r="V7" s="8">
        <f>SUMIFS(raw_output!$K$2:$K$197,raw_output!$A$2:$A$197,'Overall Output. Labeled'!$U7,raw_output!$B$2:$B$197,'Overall Output. Labeled'!$S7,raw_output!$C$2:$C$197,'Overall Output. Labeled'!$T7,raw_output!$D$2:$D$197,'Overall Output. Labeled'!$P7,raw_output!$E$2:$E$197,'Overall Output. Labeled'!$Q7,raw_output!$F$2:$F$197,'Overall Output. Labeled'!$R7,raw_output!$M$2:$M$197,'Overall Output. Labeled'!$N7)</f>
        <v>40.442704486427402</v>
      </c>
      <c r="W7" s="8">
        <f t="array" ref="W7">SUMIFS(raw_output!$J$2:$J$197,raw_output!$M$2:$M$197,'Overall Output. Labeled'!$N7,raw_output!$A$2:$A$197,'Overall Output. Labeled'!$U7,raw_output!$B$2:$B$197,'Overall Output. Labeled'!$S7,raw_output!$C$2:$C$197,'Overall Output. Labeled'!$T7,raw_output!$D$2:$D$197,'Overall Output. Labeled'!$P7,raw_output!$E$2:$E$197,'Overall Output. Labeled'!$Q7,raw_output!$F$2:$F$197,'Overall Output. Labeled'!$R7)*1000</f>
        <v>275.208442192635</v>
      </c>
    </row>
    <row r="8" spans="1:23" x14ac:dyDescent="0.2">
      <c r="A8" s="8"/>
      <c r="B8" s="8"/>
      <c r="C8" s="8" t="s">
        <v>71</v>
      </c>
      <c r="D8" s="8"/>
      <c r="E8" s="8"/>
      <c r="F8" s="8">
        <v>0.81</v>
      </c>
      <c r="G8" s="8">
        <v>0.72</v>
      </c>
      <c r="H8" s="8">
        <v>0</v>
      </c>
      <c r="I8" s="8" t="str">
        <f t="shared" si="1"/>
        <v>65+</v>
      </c>
      <c r="J8" s="8" t="str">
        <f t="shared" si="3"/>
        <v>$79B</v>
      </c>
      <c r="K8" s="8" t="str">
        <f>_xlfn.CONCAT(TEXT(SUMIFS(raw_output!$N$2:$N$197,raw_output!$M$2:$M$197,'Overall Output. Labeled'!$N8,raw_output!$A$2:$A$197,'Overall Output. Labeled'!$U8,raw_output!$B$2:$B$197,'Overall Output. Labeled'!$S8,raw_output!$C$2:$C$197,'Overall Output. Labeled'!$T8,raw_output!$D$2:$D$197,'Overall Output. Labeled'!$P8,raw_output!$E$2:$E$197,'Overall Output. Labeled'!$Q8,raw_output!$F$2:$F$197,'Overall Output. Labeled'!$R8),"$#.0"),"T")</f>
        <v>$4.2T</v>
      </c>
      <c r="L8" s="8" t="str">
        <f t="shared" si="2"/>
        <v>460k</v>
      </c>
      <c r="M8" s="8" t="str">
        <f>TEXT(SUMIFS(raw_output!$L$2:$L$197,raw_output!$M$2:$M$197,'Overall Output. Labeled'!$N8,raw_output!$A$2:$A$197,'Overall Output. Labeled'!$U8,raw_output!$B$2:$B$197,'Overall Output. Labeled'!$S8,raw_output!$C$2:$C$197,'Overall Output. Labeled'!$T8,raw_output!$D$2:$D$197,'Overall Output. Labeled'!$P8,raw_output!$E$2:$E$197,'Overall Output. Labeled'!$Q8,raw_output!$F$2:$F$197,'Overall Output. Labeled'!$R8),"$#.##")</f>
        <v>$3.94</v>
      </c>
      <c r="N8" s="8">
        <v>0.02</v>
      </c>
      <c r="O8" s="8">
        <v>0.185</v>
      </c>
      <c r="P8" s="34">
        <v>0.15</v>
      </c>
      <c r="Q8" s="34">
        <v>0.13</v>
      </c>
      <c r="R8" s="8">
        <v>0</v>
      </c>
      <c r="S8" s="8">
        <v>5</v>
      </c>
      <c r="T8" s="8">
        <v>10</v>
      </c>
      <c r="U8" s="8">
        <v>65</v>
      </c>
      <c r="V8" s="8">
        <f>SUMIFS(raw_output!$K$2:$K$197,raw_output!$A$2:$A$197,'Overall Output. Labeled'!$U8,raw_output!$B$2:$B$197,'Overall Output. Labeled'!$S8,raw_output!$C$2:$C$197,'Overall Output. Labeled'!$T8,raw_output!$D$2:$D$197,'Overall Output. Labeled'!$P8,raw_output!$E$2:$E$197,'Overall Output. Labeled'!$Q8,raw_output!$F$2:$F$197,'Overall Output. Labeled'!$R8,raw_output!$M$2:$M$197,'Overall Output. Labeled'!$N8)</f>
        <v>78.713204045629894</v>
      </c>
      <c r="W8" s="8">
        <f t="array" ref="W8">SUMIFS(raw_output!$J$2:$J$197,raw_output!$M$2:$M$197,'Overall Output. Labeled'!$N8,raw_output!$A$2:$A$197,'Overall Output. Labeled'!$U8,raw_output!$B$2:$B$197,'Overall Output. Labeled'!$S8,raw_output!$C$2:$C$197,'Overall Output. Labeled'!$T8,raw_output!$D$2:$D$197,'Overall Output. Labeled'!$P8,raw_output!$E$2:$E$197,'Overall Output. Labeled'!$Q8,raw_output!$F$2:$F$197,'Overall Output. Labeled'!$R8)*1000</f>
        <v>460.19280090283297</v>
      </c>
    </row>
    <row r="9" spans="1:23" x14ac:dyDescent="0.2">
      <c r="A9" s="8">
        <v>8</v>
      </c>
      <c r="B9" s="8">
        <v>4</v>
      </c>
      <c r="C9" s="8" t="s">
        <v>35</v>
      </c>
      <c r="D9" s="8" t="s">
        <v>34</v>
      </c>
      <c r="E9" s="8" t="s">
        <v>34</v>
      </c>
      <c r="F9" s="8">
        <v>0.82</v>
      </c>
      <c r="G9" s="8">
        <v>1.44</v>
      </c>
      <c r="H9" s="8"/>
      <c r="I9" s="8" t="str">
        <f t="shared" si="1"/>
        <v>40+</v>
      </c>
      <c r="J9" s="8" t="str">
        <f t="shared" si="3"/>
        <v>$505B</v>
      </c>
      <c r="K9" s="8" t="str">
        <f>_xlfn.CONCAT(TEXT(SUMIFS(raw_output!$N$2:$N$197,raw_output!$M$2:$M$197,'Overall Output. Labeled'!$N9,raw_output!$A$2:$A$197,'Overall Output. Labeled'!$U9,raw_output!$B$2:$B$197,'Overall Output. Labeled'!$S9,raw_output!$C$2:$C$197,'Overall Output. Labeled'!$T9,raw_output!$D$2:$D$197,'Overall Output. Labeled'!$P9,raw_output!$E$2:$E$197,'Overall Output. Labeled'!$Q9,raw_output!$F$2:$F$197,'Overall Output. Labeled'!$R9),"$#.0"),"T")</f>
        <v>$22.2T</v>
      </c>
      <c r="L9" s="8" t="str">
        <f t="shared" si="2"/>
        <v>1.1M</v>
      </c>
      <c r="M9" s="8" t="str">
        <f>TEXT(SUMIFS(raw_output!$L$2:$L$197,raw_output!$M$2:$M$197,'Overall Output. Labeled'!$N9,raw_output!$A$2:$A$197,'Overall Output. Labeled'!$U9,raw_output!$B$2:$B$197,'Overall Output. Labeled'!$S9,raw_output!$C$2:$C$197,'Overall Output. Labeled'!$T9,raw_output!$D$2:$D$197,'Overall Output. Labeled'!$P9,raw_output!$E$2:$E$197,'Overall Output. Labeled'!$Q9,raw_output!$F$2:$F$197,'Overall Output. Labeled'!$R9),"$#.##")</f>
        <v>$954.97</v>
      </c>
      <c r="N9" s="8">
        <v>0.02</v>
      </c>
      <c r="O9" s="8">
        <v>0.5</v>
      </c>
      <c r="P9" s="8">
        <f>F9*$O9</f>
        <v>0.41</v>
      </c>
      <c r="Q9" s="8">
        <f>G9*$O9</f>
        <v>0.72</v>
      </c>
      <c r="R9" s="8">
        <f>H9*$O9</f>
        <v>0</v>
      </c>
      <c r="S9" s="8">
        <v>10</v>
      </c>
      <c r="T9" s="50">
        <v>20</v>
      </c>
      <c r="U9" s="8">
        <v>40</v>
      </c>
      <c r="V9" s="8">
        <f>SUMIFS(raw_output!$K$2:$K$197,raw_output!$A$2:$A$197,'Overall Output. Labeled'!$U9,raw_output!$B$2:$B$197,'Overall Output. Labeled'!$S9,raw_output!$C$2:$C$197,'Overall Output. Labeled'!$T9,raw_output!$D$2:$D$197,'Overall Output. Labeled'!$P9,raw_output!$E$2:$E$197,'Overall Output. Labeled'!$Q9,raw_output!$F$2:$F$197,'Overall Output. Labeled'!$R9,raw_output!$M$2:$M$197,'Overall Output. Labeled'!$N9)</f>
        <v>505.03883610934298</v>
      </c>
      <c r="W9" s="8">
        <f t="array" ref="W9">SUMIFS(raw_output!$J$2:$J$197,raw_output!$M$2:$M$197,'Overall Output. Labeled'!$N9,raw_output!$A$2:$A$197,'Overall Output. Labeled'!$U9,raw_output!$B$2:$B$197,'Overall Output. Labeled'!$S9,raw_output!$C$2:$C$197,'Overall Output. Labeled'!$T9,raw_output!$D$2:$D$197,'Overall Output. Labeled'!$P9,raw_output!$E$2:$E$197,'Overall Output. Labeled'!$Q9,raw_output!$F$2:$F$197,'Overall Output. Labeled'!$R9)*1000</f>
        <v>1110.6653561943201</v>
      </c>
    </row>
    <row r="10" spans="1:23" s="24" customFormat="1" x14ac:dyDescent="0.2">
      <c r="A10" s="32"/>
      <c r="B10" s="32"/>
      <c r="C10" s="32" t="s">
        <v>80</v>
      </c>
      <c r="D10" s="32"/>
      <c r="E10" s="32"/>
      <c r="F10" s="32"/>
      <c r="G10" s="33"/>
      <c r="H10" s="32"/>
      <c r="I10" s="32"/>
      <c r="J10" s="8" t="str">
        <f>IF(V10&gt;1000,_xlfn.CONCAT(TEXT(V10/1000,"$#.0"),"T"),_xlfn.CONCAT(TEXT(V10,"$#"),"B"))</f>
        <v>$426B</v>
      </c>
      <c r="K10" s="34" t="s">
        <v>171</v>
      </c>
      <c r="L10" s="32" t="str">
        <f t="shared" si="2"/>
        <v>650k</v>
      </c>
      <c r="M10" s="32"/>
      <c r="N10" s="32"/>
      <c r="O10" s="32"/>
      <c r="P10" s="32"/>
      <c r="Q10" s="32"/>
      <c r="R10" s="32"/>
      <c r="S10" s="32"/>
      <c r="T10" s="32"/>
      <c r="U10" s="32"/>
      <c r="V10" s="8">
        <f>V9-V8</f>
        <v>426.3256320637131</v>
      </c>
      <c r="W10" s="8">
        <f>W9-W8</f>
        <v>650.4725552914872</v>
      </c>
    </row>
    <row r="11" spans="1:23" x14ac:dyDescent="0.2">
      <c r="A11" s="8">
        <v>8</v>
      </c>
      <c r="B11" s="8">
        <v>4</v>
      </c>
      <c r="C11" s="8" t="s">
        <v>36</v>
      </c>
      <c r="D11" s="8" t="s">
        <v>34</v>
      </c>
      <c r="E11" s="8" t="s">
        <v>34</v>
      </c>
      <c r="F11" s="8">
        <v>0.82</v>
      </c>
      <c r="G11" s="8">
        <v>1.44</v>
      </c>
      <c r="H11" s="8"/>
      <c r="I11" s="8" t="str">
        <f t="shared" si="1"/>
        <v>40+</v>
      </c>
      <c r="J11" s="8" t="str">
        <f t="shared" si="3"/>
        <v>$523B</v>
      </c>
      <c r="K11" s="8" t="str">
        <f>_xlfn.CONCAT(TEXT(SUMIFS(raw_output!$N$2:$N$197,raw_output!$M$2:$M$197,'Overall Output. Labeled'!$N11,raw_output!$A$2:$A$197,'Overall Output. Labeled'!$U11,raw_output!$B$2:$B$197,'Overall Output. Labeled'!$S11,raw_output!$C$2:$C$197,'Overall Output. Labeled'!$T11,raw_output!$D$2:$D$197,'Overall Output. Labeled'!$P11,raw_output!$E$2:$E$197,'Overall Output. Labeled'!$Q11,raw_output!$F$2:$F$197,'Overall Output. Labeled'!$R11),"$#.0"),"T")</f>
        <v>$23.3T</v>
      </c>
      <c r="L11" s="8" t="str">
        <f t="shared" si="2"/>
        <v>1.3M</v>
      </c>
      <c r="M11" s="8" t="str">
        <f>TEXT(SUMIFS(raw_output!$L$2:$L$197,raw_output!$M$2:$M$197,'Overall Output. Labeled'!$N11,raw_output!$A$2:$A$197,'Overall Output. Labeled'!$U11,raw_output!$B$2:$B$197,'Overall Output. Labeled'!$S11,raw_output!$C$2:$C$197,'Overall Output. Labeled'!$T11,raw_output!$D$2:$D$197,'Overall Output. Labeled'!$P11,raw_output!$E$2:$E$197,'Overall Output. Labeled'!$Q11,raw_output!$F$2:$F$197,'Overall Output. Labeled'!$R11),"$#.##")</f>
        <v>$936.43</v>
      </c>
      <c r="N11" s="8">
        <v>0.02</v>
      </c>
      <c r="O11" s="8">
        <v>0.5</v>
      </c>
      <c r="P11" s="8">
        <f>F11*$O11</f>
        <v>0.41</v>
      </c>
      <c r="Q11" s="8">
        <f>G11*$O11</f>
        <v>0.72</v>
      </c>
      <c r="R11" s="8">
        <f>H11*$O11</f>
        <v>0</v>
      </c>
      <c r="S11" s="8">
        <v>8</v>
      </c>
      <c r="T11" s="8">
        <v>16</v>
      </c>
      <c r="U11" s="8">
        <v>40</v>
      </c>
      <c r="V11" s="8">
        <f>SUMIFS(raw_output!$K$2:$K$197,raw_output!$A$2:$A$197,'Overall Output. Labeled'!$U11,raw_output!$B$2:$B$197,'Overall Output. Labeled'!$S11,raw_output!$C$2:$C$197,'Overall Output. Labeled'!$T11,raw_output!$D$2:$D$197,'Overall Output. Labeled'!$P11,raw_output!$E$2:$E$197,'Overall Output. Labeled'!$Q11,raw_output!$F$2:$F$197,'Overall Output. Labeled'!$R11,raw_output!$M$2:$M$197,'Overall Output. Labeled'!$N11)</f>
        <v>522.61022569606598</v>
      </c>
      <c r="W11" s="8">
        <f t="array" ref="W11">SUMIFS(raw_output!$J$2:$J$197,raw_output!$M$2:$M$197,'Overall Output. Labeled'!$N11,raw_output!$A$2:$A$197,'Overall Output. Labeled'!$U11,raw_output!$B$2:$B$197,'Overall Output. Labeled'!$S11,raw_output!$C$2:$C$197,'Overall Output. Labeled'!$T11,raw_output!$D$2:$D$197,'Overall Output. Labeled'!$P11,raw_output!$E$2:$E$197,'Overall Output. Labeled'!$Q11,raw_output!$F$2:$F$197,'Overall Output. Labeled'!$R11)*1000</f>
        <v>1331.72128642234</v>
      </c>
    </row>
    <row r="12" spans="1:23" s="24" customFormat="1" x14ac:dyDescent="0.2">
      <c r="A12" s="32"/>
      <c r="B12" s="32"/>
      <c r="C12" s="32" t="s">
        <v>84</v>
      </c>
      <c r="D12" s="32"/>
      <c r="E12" s="32"/>
      <c r="F12" s="32"/>
      <c r="G12" s="32"/>
      <c r="H12" s="32"/>
      <c r="I12" s="32"/>
      <c r="J12" s="32" t="s">
        <v>85</v>
      </c>
      <c r="K12" s="34" t="s">
        <v>172</v>
      </c>
      <c r="L12" s="32" t="str">
        <f t="shared" si="2"/>
        <v>221k</v>
      </c>
      <c r="M12" s="32"/>
      <c r="N12" s="32"/>
      <c r="O12" s="32"/>
      <c r="P12" s="32"/>
      <c r="Q12" s="32"/>
      <c r="R12" s="32"/>
      <c r="S12" s="32"/>
      <c r="T12" s="32"/>
      <c r="U12" s="32"/>
      <c r="V12" s="8">
        <f>V11-V9</f>
        <v>17.571389586723001</v>
      </c>
      <c r="W12" s="32">
        <f>W11-W9</f>
        <v>221.05593022801986</v>
      </c>
    </row>
    <row r="13" spans="1:23" x14ac:dyDescent="0.2">
      <c r="A13" s="8">
        <v>9</v>
      </c>
      <c r="B13" s="8">
        <v>5</v>
      </c>
      <c r="C13" s="8" t="s">
        <v>37</v>
      </c>
      <c r="D13" s="8">
        <v>5</v>
      </c>
      <c r="E13" s="8" t="s">
        <v>34</v>
      </c>
      <c r="F13" s="8">
        <v>1</v>
      </c>
      <c r="G13" s="8">
        <v>1</v>
      </c>
      <c r="H13" s="8">
        <v>1</v>
      </c>
      <c r="I13" s="8" t="str">
        <f t="shared" si="1"/>
        <v>40+</v>
      </c>
      <c r="J13" s="8" t="str">
        <f>IF(V13&gt;1000,_xlfn.CONCAT(TEXT(V13/1000,"$#.0"),"T"),_xlfn.CONCAT(TEXT(V13,"$#"),"B"))</f>
        <v>$408B</v>
      </c>
      <c r="K13" s="8" t="str">
        <f>_xlfn.CONCAT(TEXT(SUMIFS(raw_output!$N$2:$N$197,raw_output!$M$2:$M$197,'Overall Output. Labeled'!$N13,raw_output!$A$2:$A$197,'Overall Output. Labeled'!$U13,raw_output!$B$2:$B$197,'Overall Output. Labeled'!$S13,raw_output!$C$2:$C$197,'Overall Output. Labeled'!$T13,raw_output!$D$2:$D$197,'Overall Output. Labeled'!$P13,raw_output!$E$2:$E$197,'Overall Output. Labeled'!$Q13,raw_output!$F$2:$F$197,'Overall Output. Labeled'!$R13),"$#.0"),"T")</f>
        <v>$27.1T</v>
      </c>
      <c r="L13" s="8" t="str">
        <f>IF(W13&gt;1000,_xlfn.CONCAT(TEXT(W13/1000,"#.#"),"M"),_xlfn.CONCAT(TEXT(W13,"#"),"k"))</f>
        <v>1.7M</v>
      </c>
      <c r="M13" s="8" t="str">
        <f>TEXT(SUMIFS(raw_output!$L$2:$L$197,raw_output!$M$2:$M$197,'Overall Output. Labeled'!$N13,raw_output!$A$2:$A$197,'Overall Output. Labeled'!$U13,raw_output!$B$2:$B$197,'Overall Output. Labeled'!$S13,raw_output!$C$2:$C$197,'Overall Output. Labeled'!$T13,raw_output!$D$2:$D$197,'Overall Output. Labeled'!$P13,raw_output!$E$2:$E$197,'Overall Output. Labeled'!$Q13,raw_output!$F$2:$F$197,'Overall Output. Labeled'!$R13),"$#.##")</f>
        <v>$425.39</v>
      </c>
      <c r="N13" s="8">
        <v>0.02</v>
      </c>
      <c r="O13" s="8">
        <v>0.5</v>
      </c>
      <c r="P13" s="8">
        <f t="shared" ref="P13:R14" si="4">F13*$O13</f>
        <v>0.5</v>
      </c>
      <c r="Q13" s="8">
        <f t="shared" si="4"/>
        <v>0.5</v>
      </c>
      <c r="R13" s="8">
        <f t="shared" si="4"/>
        <v>0.5</v>
      </c>
      <c r="S13" s="8">
        <v>10</v>
      </c>
      <c r="T13" s="50">
        <v>20</v>
      </c>
      <c r="U13" s="8">
        <v>40</v>
      </c>
      <c r="V13" s="8">
        <f>SUMIFS(raw_output!$K$2:$K$197,raw_output!$A$2:$A$197,'Overall Output. Labeled'!$U13,raw_output!$B$2:$B$197,'Overall Output. Labeled'!$S13,raw_output!$C$2:$C$197,'Overall Output. Labeled'!$T13,raw_output!$D$2:$D$197,'Overall Output. Labeled'!$P13,raw_output!$E$2:$E$197,'Overall Output. Labeled'!$Q13,raw_output!$F$2:$F$197,'Overall Output. Labeled'!$R13,raw_output!$M$2:$M$197,'Overall Output. Labeled'!$N13)</f>
        <v>408.38261914938897</v>
      </c>
      <c r="W13" s="8">
        <f t="array" ref="W13">SUMIFS(raw_output!$J$2:$J$197,raw_output!$M$2:$M$197,'Overall Output. Labeled'!$N13,raw_output!$A$2:$A$197,'Overall Output. Labeled'!$U13,raw_output!$B$2:$B$197,'Overall Output. Labeled'!$S13,raw_output!$C$2:$C$197,'Overall Output. Labeled'!$T13,raw_output!$D$2:$D$197,'Overall Output. Labeled'!$P13,raw_output!$E$2:$E$197,'Overall Output. Labeled'!$Q13,raw_output!$F$2:$F$197,'Overall Output. Labeled'!$R13)*1000</f>
        <v>1723.1994507107499</v>
      </c>
    </row>
    <row r="14" spans="1:23" x14ac:dyDescent="0.2">
      <c r="A14" s="8">
        <v>9</v>
      </c>
      <c r="B14" s="8">
        <v>5</v>
      </c>
      <c r="C14" s="8" t="s">
        <v>37</v>
      </c>
      <c r="D14" s="8" t="s">
        <v>39</v>
      </c>
      <c r="E14" s="8" t="s">
        <v>34</v>
      </c>
      <c r="F14" s="8">
        <v>1</v>
      </c>
      <c r="G14" s="8">
        <v>1</v>
      </c>
      <c r="H14" s="8">
        <v>1</v>
      </c>
      <c r="I14" s="8" t="str">
        <f t="shared" si="1"/>
        <v>65+</v>
      </c>
      <c r="J14" s="8" t="str">
        <f t="shared" ref="J14" si="5">IF(V14&gt;1000,_xlfn.CONCAT(TEXT(V14/1000,"$#.0"),"T"),_xlfn.CONCAT(TEXT(V14,"$#"),"B"))</f>
        <v>$326B</v>
      </c>
      <c r="K14" s="8" t="str">
        <f>_xlfn.CONCAT(TEXT(SUMIFS(raw_output!$N$2:$N$197,raw_output!$M$2:$M$197,'Overall Output. Labeled'!$N14,raw_output!$A$2:$A$197,'Overall Output. Labeled'!$U14,raw_output!$B$2:$B$197,'Overall Output. Labeled'!$S14,raw_output!$C$2:$C$197,'Overall Output. Labeled'!$T14,raw_output!$D$2:$D$197,'Overall Output. Labeled'!$P14,raw_output!$E$2:$E$197,'Overall Output. Labeled'!$Q14,raw_output!$F$2:$F$197,'Overall Output. Labeled'!$R14),"$#.0"),"T")</f>
        <v>$14.3T</v>
      </c>
      <c r="L14" s="8" t="str">
        <f>IF(W14&gt;1000,_xlfn.CONCAT(TEXT(W14/1000,"#.#"),"M"),_xlfn.CONCAT(TEXT(W14,"#"),"k"))</f>
        <v>1.2M</v>
      </c>
      <c r="M14" s="8" t="str">
        <f>TEXT(SUMIFS(raw_output!$L$2:$L$197,raw_output!$M$2:$M$197,'Overall Output. Labeled'!$N14,raw_output!$A$2:$A$197,'Overall Output. Labeled'!$U14,raw_output!$B$2:$B$197,'Overall Output. Labeled'!$S14,raw_output!$C$2:$C$197,'Overall Output. Labeled'!$T14,raw_output!$D$2:$D$197,'Overall Output. Labeled'!$P14,raw_output!$E$2:$E$197,'Overall Output. Labeled'!$Q14,raw_output!$F$2:$F$197,'Overall Output. Labeled'!$R14),"$#.##")</f>
        <v>$327.93</v>
      </c>
      <c r="N14" s="8">
        <v>0.02</v>
      </c>
      <c r="O14" s="8">
        <v>0.5</v>
      </c>
      <c r="P14" s="8">
        <f t="shared" si="4"/>
        <v>0.5</v>
      </c>
      <c r="Q14" s="8">
        <f t="shared" si="4"/>
        <v>0.5</v>
      </c>
      <c r="R14" s="8">
        <f t="shared" si="4"/>
        <v>0.5</v>
      </c>
      <c r="S14" s="8">
        <v>10</v>
      </c>
      <c r="T14" s="50">
        <v>20</v>
      </c>
      <c r="U14" s="8">
        <v>65</v>
      </c>
      <c r="V14" s="8">
        <f>SUMIFS(raw_output!$K$2:$K$197,raw_output!$A$2:$A$197,'Overall Output. Labeled'!$U14,raw_output!$B$2:$B$197,'Overall Output. Labeled'!$S14,raw_output!$C$2:$C$197,'Overall Output. Labeled'!$T14,raw_output!$D$2:$D$197,'Overall Output. Labeled'!$P14,raw_output!$E$2:$E$197,'Overall Output. Labeled'!$Q14,raw_output!$F$2:$F$197,'Overall Output. Labeled'!$R14,raw_output!$M$2:$M$197,'Overall Output. Labeled'!$N14)</f>
        <v>326.36233150701401</v>
      </c>
      <c r="W14" s="8">
        <f t="array" ref="W14">SUMIFS(raw_output!$J$2:$J$197,raw_output!$M$2:$M$197,'Overall Output. Labeled'!$N14,raw_output!$A$2:$A$197,'Overall Output. Labeled'!$U14,raw_output!$B$2:$B$197,'Overall Output. Labeled'!$S14,raw_output!$C$2:$C$197,'Overall Output. Labeled'!$T14,raw_output!$D$2:$D$197,'Overall Output. Labeled'!$P14,raw_output!$E$2:$E$197,'Overall Output. Labeled'!$Q14,raw_output!$F$2:$F$197,'Overall Output. Labeled'!$R14)*1000</f>
        <v>1178.3826528464701</v>
      </c>
    </row>
    <row r="15" spans="1:23" x14ac:dyDescent="0.2">
      <c r="A15" s="8">
        <v>9</v>
      </c>
      <c r="B15" s="8">
        <v>5</v>
      </c>
      <c r="C15" s="8" t="s">
        <v>38</v>
      </c>
      <c r="D15" s="8" t="s">
        <v>39</v>
      </c>
      <c r="E15" s="8" t="s">
        <v>34</v>
      </c>
      <c r="F15" s="8">
        <v>5</v>
      </c>
      <c r="G15" s="8">
        <v>5</v>
      </c>
      <c r="H15" s="8">
        <v>5</v>
      </c>
      <c r="I15" s="8" t="str">
        <f t="shared" si="1"/>
        <v>40+</v>
      </c>
      <c r="J15" s="8" t="str">
        <f>IF(V15&gt;1000,_xlfn.CONCAT(TEXT(V15/1000,"$#.0"),"T"),_xlfn.CONCAT(TEXT(V15,"$#"),"B"))</f>
        <v>$2.0T</v>
      </c>
      <c r="K15" s="8" t="str">
        <f>_xlfn.CONCAT(TEXT(SUMIFS(raw_output!$N$2:$N$197,raw_output!$M$2:$M$197,'Overall Output. Labeled'!$N15,raw_output!$A$2:$A$197,'Overall Output. Labeled'!$U15,raw_output!$B$2:$B$197,'Overall Output. Labeled'!$S15,raw_output!$C$2:$C$197,'Overall Output. Labeled'!$T15,raw_output!$D$2:$D$197,'Overall Output. Labeled'!$P15,raw_output!$E$2:$E$197,'Overall Output. Labeled'!$Q15,raw_output!$F$2:$F$197,'Overall Output. Labeled'!$R15),"$#.0"),"T")</f>
        <v>$101.9T</v>
      </c>
      <c r="L15" s="8" t="str">
        <f>IF(W15&gt;1000,_xlfn.CONCAT(TEXT(W15/1000,"#.#"),"M"),_xlfn.CONCAT(TEXT(W15,"#"),"k"))</f>
        <v>6.9M</v>
      </c>
      <c r="M15" s="8" t="str">
        <f>TEXT(SUMIFS(raw_output!$L$2:$L$197,raw_output!$M$2:$M$197,'Overall Output. Labeled'!$N15,raw_output!$A$2:$A$197,'Overall Output. Labeled'!$U15,raw_output!$B$2:$B$197,'Overall Output. Labeled'!$S15,raw_output!$C$2:$C$197,'Overall Output. Labeled'!$T15,raw_output!$D$2:$D$197,'Overall Output. Labeled'!$P15,raw_output!$E$2:$E$197,'Overall Output. Labeled'!$Q15,raw_output!$F$2:$F$197,'Overall Output. Labeled'!$R15),"$#.##")</f>
        <v>$2211.12</v>
      </c>
      <c r="N15" s="8">
        <v>0.02</v>
      </c>
      <c r="O15" s="8">
        <v>0.5</v>
      </c>
      <c r="P15" s="8">
        <f>F15*$O15</f>
        <v>2.5</v>
      </c>
      <c r="Q15" s="8">
        <f>G15*$O15</f>
        <v>2.5</v>
      </c>
      <c r="R15" s="34">
        <v>0.6</v>
      </c>
      <c r="S15" s="8">
        <v>10</v>
      </c>
      <c r="T15" s="50">
        <v>20</v>
      </c>
      <c r="U15" s="8">
        <v>40</v>
      </c>
      <c r="V15" s="8">
        <f>SUMIFS(raw_output!$K$2:$K$197,raw_output!$A$2:$A$197,'Overall Output. Labeled'!$U15,raw_output!$B$2:$B$197,'Overall Output. Labeled'!$S15,raw_output!$C$2:$C$197,'Overall Output. Labeled'!$T15,raw_output!$D$2:$D$197,'Overall Output. Labeled'!$P15,raw_output!$E$2:$E$197,'Overall Output. Labeled'!$Q15,raw_output!$F$2:$F$197,'Overall Output. Labeled'!$R15,raw_output!$M$2:$M$197,'Overall Output. Labeled'!$N15)</f>
        <v>2027.97280329624</v>
      </c>
      <c r="W15" s="8">
        <f t="array" ref="W15">SUMIFS(raw_output!$J$2:$J$197,raw_output!$M$2:$M$197,'Overall Output. Labeled'!$N15,raw_output!$A$2:$A$197,'Overall Output. Labeled'!$U15,raw_output!$B$2:$B$197,'Overall Output. Labeled'!$S15,raw_output!$C$2:$C$197,'Overall Output. Labeled'!$T15,raw_output!$D$2:$D$197,'Overall Output. Labeled'!$P15,raw_output!$E$2:$E$197,'Overall Output. Labeled'!$Q15,raw_output!$F$2:$F$197,'Overall Output. Labeled'!$R15)*1000</f>
        <v>6911.1497444073802</v>
      </c>
    </row>
    <row r="16" spans="1:23" x14ac:dyDescent="0.2">
      <c r="A16" s="8">
        <v>9</v>
      </c>
      <c r="B16" s="8">
        <v>5</v>
      </c>
      <c r="C16" s="8" t="s">
        <v>38</v>
      </c>
      <c r="D16" s="8" t="s">
        <v>39</v>
      </c>
      <c r="E16" s="8" t="s">
        <v>34</v>
      </c>
      <c r="F16" s="8">
        <v>5</v>
      </c>
      <c r="G16" s="8">
        <v>5</v>
      </c>
      <c r="H16" s="8">
        <v>5</v>
      </c>
      <c r="I16" s="8" t="str">
        <f t="shared" si="1"/>
        <v>65+</v>
      </c>
      <c r="J16" s="8" t="str">
        <f t="shared" ref="J16" si="6">IF(V16&gt;1000,_xlfn.CONCAT(TEXT(V16/1000,"$#.0"),"T"),_xlfn.CONCAT(TEXT(V16,"$#"),"B"))</f>
        <v>$1.7T</v>
      </c>
      <c r="K16" s="8" t="str">
        <f>_xlfn.CONCAT(TEXT(SUMIFS(raw_output!$N$2:$N$197,raw_output!$M$2:$M$197,'Overall Output. Labeled'!$N16,raw_output!$A$2:$A$197,'Overall Output. Labeled'!$U16,raw_output!$B$2:$B$197,'Overall Output. Labeled'!$S16,raw_output!$C$2:$C$197,'Overall Output. Labeled'!$T16,raw_output!$D$2:$D$197,'Overall Output. Labeled'!$P16,raw_output!$E$2:$E$197,'Overall Output. Labeled'!$Q16,raw_output!$F$2:$F$197,'Overall Output. Labeled'!$R16),"$#.0"),"T")</f>
        <v>$72.8T</v>
      </c>
      <c r="L16" s="8" t="str">
        <f>IF(W16&gt;1000,_xlfn.CONCAT(TEXT(W16/1000,"#.#"),"M"),_xlfn.CONCAT(TEXT(W16,"#"),"k"))</f>
        <v>5.6M</v>
      </c>
      <c r="M16" s="8" t="str">
        <f>TEXT(SUMIFS(raw_output!$L$2:$L$197,raw_output!$M$2:$M$197,'Overall Output. Labeled'!$N16,raw_output!$A$2:$A$197,'Overall Output. Labeled'!$U16,raw_output!$B$2:$B$197,'Overall Output. Labeled'!$S16,raw_output!$C$2:$C$197,'Overall Output. Labeled'!$T16,raw_output!$D$2:$D$197,'Overall Output. Labeled'!$P16,raw_output!$E$2:$E$197,'Overall Output. Labeled'!$Q16,raw_output!$F$2:$F$197,'Overall Output. Labeled'!$R16),"$#.##")</f>
        <v>$1894.74</v>
      </c>
      <c r="N16" s="8">
        <v>0.02</v>
      </c>
      <c r="O16" s="8">
        <v>0.5</v>
      </c>
      <c r="P16" s="8">
        <f>F16*$O16</f>
        <v>2.5</v>
      </c>
      <c r="Q16" s="8">
        <f>G16*$O16</f>
        <v>2.5</v>
      </c>
      <c r="R16" s="34">
        <v>0.6</v>
      </c>
      <c r="S16" s="8">
        <v>10</v>
      </c>
      <c r="T16" s="50">
        <v>20</v>
      </c>
      <c r="U16" s="8">
        <v>65</v>
      </c>
      <c r="V16" s="8">
        <f>SUMIFS(raw_output!$K$2:$K$197,raw_output!$A$2:$A$197,'Overall Output. Labeled'!$U16,raw_output!$B$2:$B$197,'Overall Output. Labeled'!$S16,raw_output!$C$2:$C$197,'Overall Output. Labeled'!$T16,raw_output!$D$2:$D$197,'Overall Output. Labeled'!$P16,raw_output!$E$2:$E$197,'Overall Output. Labeled'!$Q16,raw_output!$F$2:$F$197,'Overall Output. Labeled'!$R16,raw_output!$M$2:$M$197,'Overall Output. Labeled'!$N16)</f>
        <v>1696.76471092524</v>
      </c>
      <c r="W16" s="8">
        <f t="array" ref="W16">SUMIFS(raw_output!$J$2:$J$197,raw_output!$M$2:$M$197,'Overall Output. Labeled'!$N16,raw_output!$A$2:$A$197,'Overall Output. Labeled'!$U16,raw_output!$B$2:$B$197,'Overall Output. Labeled'!$S16,raw_output!$C$2:$C$197,'Overall Output. Labeled'!$T16,raw_output!$D$2:$D$197,'Overall Output. Labeled'!$P16,raw_output!$E$2:$E$197,'Overall Output. Labeled'!$Q16,raw_output!$F$2:$F$197,'Overall Output. Labeled'!$R16)*1000</f>
        <v>5623.6576150313404</v>
      </c>
    </row>
    <row r="17" spans="1:23" s="6" customFormat="1" x14ac:dyDescent="0.2">
      <c r="A17" s="35">
        <v>11</v>
      </c>
      <c r="B17" s="36" t="s">
        <v>40</v>
      </c>
      <c r="C17" s="35" t="s">
        <v>96</v>
      </c>
      <c r="D17" s="35"/>
      <c r="E17" s="35" t="s">
        <v>34</v>
      </c>
      <c r="F17" s="35" t="s">
        <v>34</v>
      </c>
      <c r="G17" s="35">
        <v>0</v>
      </c>
      <c r="H17" s="35">
        <v>0</v>
      </c>
      <c r="I17" s="35" t="str">
        <f t="shared" si="1"/>
        <v>40+</v>
      </c>
      <c r="J17" s="35"/>
      <c r="K17" s="49" t="s">
        <v>42</v>
      </c>
      <c r="L17" s="35"/>
      <c r="M17" s="35"/>
      <c r="N17" s="35">
        <v>3.5000000000000003E-2</v>
      </c>
      <c r="O17" s="35"/>
      <c r="P17" s="35"/>
      <c r="Q17" s="35"/>
      <c r="R17" s="35"/>
      <c r="S17" s="35">
        <v>10</v>
      </c>
      <c r="T17" s="50">
        <v>20</v>
      </c>
      <c r="U17" s="35">
        <v>40</v>
      </c>
      <c r="V17" s="8">
        <f>SUMIFS(raw_output!$K$2:$K$197,raw_output!$A$2:$A$197,'Overall Output. Labeled'!$U17,raw_output!$B$2:$B$197,'Overall Output. Labeled'!$S17,raw_output!$C$2:$C$197,'Overall Output. Labeled'!$T17,raw_output!$D$2:$D$197,'Overall Output. Labeled'!$P17,raw_output!$E$2:$E$197,'Overall Output. Labeled'!$Q17,raw_output!$F$2:$F$197,'Overall Output. Labeled'!$R17,raw_output!$M$2:$M$197,'Overall Output. Labeled'!$N17)</f>
        <v>0</v>
      </c>
      <c r="W17" s="35"/>
    </row>
    <row r="18" spans="1:23" x14ac:dyDescent="0.2">
      <c r="A18" s="8">
        <v>11</v>
      </c>
      <c r="B18" s="37" t="s">
        <v>40</v>
      </c>
      <c r="C18" s="8" t="s">
        <v>98</v>
      </c>
      <c r="D18" s="8" t="s">
        <v>39</v>
      </c>
      <c r="E18" s="8" t="s">
        <v>34</v>
      </c>
      <c r="F18" s="8">
        <v>5</v>
      </c>
      <c r="G18" s="8">
        <v>5</v>
      </c>
      <c r="H18" s="8">
        <v>5</v>
      </c>
      <c r="I18" s="8" t="str">
        <f t="shared" si="1"/>
        <v>40+</v>
      </c>
      <c r="J18" s="8" t="str">
        <f>IF(V18&gt;1000,_xlfn.CONCAT(TEXT(V18/1000,"$#.0"),"T"),_xlfn.CONCAT(TEXT(V18,"$#"),"B"))</f>
        <v>$4.0T</v>
      </c>
      <c r="K18" s="8" t="str">
        <f>_xlfn.CONCAT(TEXT(SUMIFS(raw_output!$N$2:$N$197,raw_output!$M$2:$M$197,'Overall Output. Labeled'!$N18,raw_output!$A$2:$A$197,'Overall Output. Labeled'!$U18,raw_output!$B$2:$B$197,'Overall Output. Labeled'!$S18,raw_output!$C$2:$C$197,'Overall Output. Labeled'!$T18,raw_output!$D$2:$D$197,'Overall Output. Labeled'!$P18,raw_output!$E$2:$E$197,'Overall Output. Labeled'!$Q18,raw_output!$F$2:$F$197,'Overall Output. Labeled'!$R18),"$#.0"),"T")</f>
        <v>$83.6T</v>
      </c>
      <c r="L18" s="8" t="str">
        <f>IF(W18&gt;1000,_xlfn.CONCAT(TEXT(W18/1000,"#.#"),"M"),_xlfn.CONCAT(TEXT(W18,"#"),"k"))</f>
        <v>12.9M</v>
      </c>
      <c r="M18" s="8" t="str">
        <f>TEXT(SUMIFS(raw_output!$L$2:$L$197,raw_output!$M$2:$M$197,'Overall Output. Labeled'!$N18,raw_output!$A$2:$A$197,'Overall Output. Labeled'!$U18,raw_output!$B$2:$B$197,'Overall Output. Labeled'!$S18,raw_output!$C$2:$C$197,'Overall Output. Labeled'!$T18,raw_output!$D$2:$D$197,'Overall Output. Labeled'!$P18,raw_output!$E$2:$E$197,'Overall Output. Labeled'!$Q18,raw_output!$F$2:$F$197,'Overall Output. Labeled'!$R18),"$#.##")</f>
        <v>$4048.2</v>
      </c>
      <c r="N18" s="8">
        <v>3.5000000000000003E-2</v>
      </c>
      <c r="O18" s="8">
        <v>1</v>
      </c>
      <c r="P18" s="8">
        <f>F18*$O18</f>
        <v>5</v>
      </c>
      <c r="Q18" s="8">
        <f>G18*$O18</f>
        <v>5</v>
      </c>
      <c r="R18" s="34">
        <v>0.6</v>
      </c>
      <c r="S18" s="8">
        <v>10</v>
      </c>
      <c r="T18" s="50">
        <v>20</v>
      </c>
      <c r="U18" s="8">
        <v>40</v>
      </c>
      <c r="V18" s="8">
        <f>SUMIFS(raw_output!$K$2:$K$197,raw_output!$A$2:$A$197,'Overall Output. Labeled'!$U18,raw_output!$B$2:$B$197,'Overall Output. Labeled'!$S18,raw_output!$C$2:$C$197,'Overall Output. Labeled'!$T18,raw_output!$D$2:$D$197,'Overall Output. Labeled'!$P18,raw_output!$E$2:$E$197,'Overall Output. Labeled'!$Q18,raw_output!$F$2:$F$197,'Overall Output. Labeled'!$R18,raw_output!$M$2:$M$197,'Overall Output. Labeled'!$N18)</f>
        <v>3951.07712146837</v>
      </c>
      <c r="W18" s="8">
        <f t="array" ref="W18">SUMIFS(raw_output!$J$2:$J$197,raw_output!$M$2:$M$197,'Overall Output. Labeled'!$N18,raw_output!$A$2:$A$197,'Overall Output. Labeled'!$U18,raw_output!$B$2:$B$197,'Overall Output. Labeled'!$S18,raw_output!$C$2:$C$197,'Overall Output. Labeled'!$T18,raw_output!$D$2:$D$197,'Overall Output. Labeled'!$P18,raw_output!$E$2:$E$197,'Overall Output. Labeled'!$Q18,raw_output!$F$2:$F$197,'Overall Output. Labeled'!$R18)*1000</f>
        <v>12900.8351694907</v>
      </c>
    </row>
    <row r="19" spans="1:23" s="6" customFormat="1" x14ac:dyDescent="0.2">
      <c r="A19" s="35">
        <v>11</v>
      </c>
      <c r="B19" s="36" t="s">
        <v>40</v>
      </c>
      <c r="C19" s="35" t="s">
        <v>43</v>
      </c>
      <c r="D19" s="35"/>
      <c r="E19" s="35"/>
      <c r="F19" s="35" t="s">
        <v>40</v>
      </c>
      <c r="G19" s="35" t="s">
        <v>40</v>
      </c>
      <c r="H19" s="35" t="s">
        <v>40</v>
      </c>
      <c r="I19" s="35" t="s">
        <v>40</v>
      </c>
      <c r="J19" s="35"/>
      <c r="K19" s="49" t="s">
        <v>128</v>
      </c>
      <c r="L19" s="35"/>
      <c r="M19" s="35"/>
      <c r="N19" s="35">
        <v>0.02</v>
      </c>
      <c r="O19" s="35">
        <v>1</v>
      </c>
      <c r="P19" s="35"/>
      <c r="Q19" s="35"/>
      <c r="R19" s="35"/>
      <c r="S19" s="35">
        <v>10</v>
      </c>
      <c r="T19" s="50">
        <v>20</v>
      </c>
      <c r="U19" s="35" t="s">
        <v>40</v>
      </c>
      <c r="V19" s="8">
        <f>SUMIFS(raw_output!$K$2:$K$197,raw_output!$A$2:$A$197,'Overall Output. Labeled'!$U19,raw_output!$B$2:$B$197,'Overall Output. Labeled'!$S19,raw_output!$C$2:$C$197,'Overall Output. Labeled'!$T19,raw_output!$D$2:$D$197,'Overall Output. Labeled'!$P19,raw_output!$E$2:$E$197,'Overall Output. Labeled'!$Q19,raw_output!$F$2:$F$197,'Overall Output. Labeled'!$R19,raw_output!$M$2:$M$197,'Overall Output. Labeled'!$N19)</f>
        <v>0</v>
      </c>
      <c r="W19" s="35"/>
    </row>
    <row r="20" spans="1:23" x14ac:dyDescent="0.2">
      <c r="A20" s="8">
        <v>11</v>
      </c>
      <c r="B20" s="37" t="s">
        <v>40</v>
      </c>
      <c r="C20" s="8" t="s">
        <v>44</v>
      </c>
      <c r="D20" s="8"/>
      <c r="E20" s="8"/>
      <c r="F20" s="8">
        <v>2.52</v>
      </c>
      <c r="G20" s="8">
        <v>1.26</v>
      </c>
      <c r="H20" s="8">
        <v>0</v>
      </c>
      <c r="I20" s="8" t="str">
        <f t="shared" si="1"/>
        <v>40+</v>
      </c>
      <c r="J20" s="8" t="str">
        <f>IF(V20&gt;1000,_xlfn.CONCAT(TEXT(V20/1000,"$#.0"),"T"),_xlfn.CONCAT(TEXT(V20,"$#"),"B"))</f>
        <v>$715B</v>
      </c>
      <c r="K20" s="8" t="str">
        <f>_xlfn.CONCAT(TEXT(SUMIFS(raw_output!$N$2:$N$197,raw_output!$M$2:$M$197,'Overall Output. Labeled'!$N20,raw_output!$A$2:$A$197,'Overall Output. Labeled'!$U20,raw_output!$B$2:$B$197,'Overall Output. Labeled'!$S20,raw_output!$C$2:$C$197,'Overall Output. Labeled'!$T20,raw_output!$D$2:$D$197,'Overall Output. Labeled'!$P20,raw_output!$E$2:$E$197,'Overall Output. Labeled'!$Q20,raw_output!$F$2:$F$197,'Overall Output. Labeled'!$R20),"$#.0"),"T")</f>
        <v>$38.4T</v>
      </c>
      <c r="L20" s="8" t="str">
        <f>IF(W20&gt;1000,_xlfn.CONCAT(TEXT(W20/1000,"#.#"),"M"),_xlfn.CONCAT(TEXT(W20,"#"),"k"))</f>
        <v>6.5M</v>
      </c>
      <c r="M20" s="8" t="str">
        <f>TEXT(SUMIFS(raw_output!$L$2:$L$197,raw_output!$M$2:$M$197,'Overall Output. Labeled'!$N20,raw_output!$A$2:$A$197,'Overall Output. Labeled'!$U20,raw_output!$B$2:$B$197,'Overall Output. Labeled'!$S20,raw_output!$C$2:$C$197,'Overall Output. Labeled'!$T20,raw_output!$D$2:$D$197,'Overall Output. Labeled'!$P20,raw_output!$E$2:$E$197,'Overall Output. Labeled'!$Q20,raw_output!$F$2:$F$197,'Overall Output. Labeled'!$R20),"$#.##")</f>
        <v>-$2229.5</v>
      </c>
      <c r="N20" s="8">
        <v>0.02</v>
      </c>
      <c r="O20" s="8">
        <v>1</v>
      </c>
      <c r="P20" s="8">
        <f>F20*$O20</f>
        <v>2.52</v>
      </c>
      <c r="Q20" s="8">
        <v>0</v>
      </c>
      <c r="R20" s="34">
        <v>0</v>
      </c>
      <c r="S20" s="8">
        <v>10</v>
      </c>
      <c r="T20" s="50">
        <v>20</v>
      </c>
      <c r="U20" s="8">
        <v>40</v>
      </c>
      <c r="V20" s="8">
        <f>SUMIFS(raw_output!$K$2:$K$197,raw_output!$A$2:$A$197,'Overall Output. Labeled'!$U20,raw_output!$B$2:$B$197,'Overall Output. Labeled'!$S20,raw_output!$C$2:$C$197,'Overall Output. Labeled'!$T20,raw_output!$D$2:$D$197,'Overall Output. Labeled'!$P20,raw_output!$E$2:$E$197,'Overall Output. Labeled'!$Q20,raw_output!$F$2:$F$197,'Overall Output. Labeled'!$R20,raw_output!$M$2:$M$197,'Overall Output. Labeled'!$N20)</f>
        <v>714.84513741596902</v>
      </c>
      <c r="W20" s="8">
        <f t="array" ref="W20">SUMIFS(raw_output!$J$2:$J$197,raw_output!$M$2:$M$197,'Overall Output. Labeled'!$N20,raw_output!$A$2:$A$197,'Overall Output. Labeled'!$U20,raw_output!$B$2:$B$197,'Overall Output. Labeled'!$S20,raw_output!$C$2:$C$197,'Overall Output. Labeled'!$T20,raw_output!$D$2:$D$197,'Overall Output. Labeled'!$P20,raw_output!$E$2:$E$197,'Overall Output. Labeled'!$Q20,raw_output!$F$2:$F$197,'Overall Output. Labeled'!$R20)*1000</f>
        <v>6529.4666553730203</v>
      </c>
    </row>
    <row r="21" spans="1:23" x14ac:dyDescent="0.2">
      <c r="A21" s="8">
        <v>12</v>
      </c>
      <c r="B21" s="8" t="s">
        <v>40</v>
      </c>
      <c r="C21" s="8" t="s">
        <v>46</v>
      </c>
      <c r="D21" s="8"/>
      <c r="E21" s="8"/>
      <c r="F21" s="8">
        <v>1</v>
      </c>
      <c r="G21" s="8">
        <v>1</v>
      </c>
      <c r="H21" s="8">
        <v>1</v>
      </c>
      <c r="I21" s="8" t="str">
        <f t="shared" si="1"/>
        <v>40+</v>
      </c>
      <c r="J21" s="8" t="str">
        <f>IF(V21&gt;1000,_xlfn.CONCAT(TEXT(V21/1000,"$#.0"),"T"),_xlfn.CONCAT(TEXT(V21,"$#"),"B"))</f>
        <v>$857B</v>
      </c>
      <c r="K21" s="8" t="str">
        <f>_xlfn.CONCAT(TEXT(SUMIFS(raw_output!$N$2:$N$197,raw_output!$M$2:$M$197,'Overall Output. Labeled'!$N21,raw_output!$A$2:$A$197,'Overall Output. Labeled'!$U21,raw_output!$B$2:$B$197,'Overall Output. Labeled'!$S21,raw_output!$C$2:$C$197,'Overall Output. Labeled'!$T21,raw_output!$D$2:$D$197,'Overall Output. Labeled'!$P21,raw_output!$E$2:$E$197,'Overall Output. Labeled'!$Q21,raw_output!$F$2:$F$197,'Overall Output. Labeled'!$R21),"$#.0"),"T")</f>
        <v>$47.1T</v>
      </c>
      <c r="L21" s="8" t="str">
        <f>IF(W21&gt;1000,_xlfn.CONCAT(TEXT(W21/1000,"#.#"),"M"),_xlfn.CONCAT(TEXT(W21,"#"),"k"))</f>
        <v>3.1M</v>
      </c>
      <c r="M21" s="8" t="str">
        <f>TEXT(SUMIFS(raw_output!$L$2:$L$197,raw_output!$M$2:$M$197,'Overall Output. Labeled'!$N21,raw_output!$A$2:$A$197,'Overall Output. Labeled'!$U21,raw_output!$B$2:$B$197,'Overall Output. Labeled'!$S21,raw_output!$C$2:$C$197,'Overall Output. Labeled'!$T21,raw_output!$D$2:$D$197,'Overall Output. Labeled'!$P21,raw_output!$E$2:$E$197,'Overall Output. Labeled'!$Q21,raw_output!$F$2:$F$197,'Overall Output. Labeled'!$R21),"$#.##")</f>
        <v>$957.09</v>
      </c>
      <c r="N21" s="8">
        <v>0.02</v>
      </c>
      <c r="O21" s="8">
        <v>1</v>
      </c>
      <c r="P21" s="8">
        <f>F21*$O21</f>
        <v>1</v>
      </c>
      <c r="Q21" s="8">
        <f>G21*$O21</f>
        <v>1</v>
      </c>
      <c r="R21" s="34">
        <v>0.5</v>
      </c>
      <c r="S21" s="8">
        <v>10</v>
      </c>
      <c r="T21" s="50">
        <v>20</v>
      </c>
      <c r="U21" s="8">
        <v>40</v>
      </c>
      <c r="V21" s="8">
        <f>SUMIFS(raw_output!$K$2:$K$197,raw_output!$A$2:$A$197,'Overall Output. Labeled'!$U21,raw_output!$B$2:$B$197,'Overall Output. Labeled'!$S21,raw_output!$C$2:$C$197,'Overall Output. Labeled'!$T21,raw_output!$D$2:$D$197,'Overall Output. Labeled'!$P21,raw_output!$E$2:$E$197,'Overall Output. Labeled'!$Q21,raw_output!$F$2:$F$197,'Overall Output. Labeled'!$R21,raw_output!$M$2:$M$197,'Overall Output. Labeled'!$N21)</f>
        <v>857.09417997486105</v>
      </c>
      <c r="W21" s="8">
        <f t="array" ref="W21">SUMIFS(raw_output!$J$2:$J$197,raw_output!$M$2:$M$197,'Overall Output. Labeled'!$N21,raw_output!$A$2:$A$197,'Overall Output. Labeled'!$U21,raw_output!$B$2:$B$197,'Overall Output. Labeled'!$S21,raw_output!$C$2:$C$197,'Overall Output. Labeled'!$T21,raw_output!$D$2:$D$197,'Overall Output. Labeled'!$P21,raw_output!$E$2:$E$197,'Overall Output. Labeled'!$Q21,raw_output!$F$2:$F$197,'Overall Output. Labeled'!$R21)*1000</f>
        <v>3127.9636949866099</v>
      </c>
    </row>
    <row r="22" spans="1:23" s="6" customFormat="1" x14ac:dyDescent="0.2">
      <c r="A22" s="35">
        <v>12</v>
      </c>
      <c r="B22" s="35"/>
      <c r="C22" s="35" t="s">
        <v>47</v>
      </c>
      <c r="D22" s="35"/>
      <c r="E22" s="35"/>
      <c r="F22" s="35">
        <v>1</v>
      </c>
      <c r="G22" s="35">
        <v>1</v>
      </c>
      <c r="H22" s="35">
        <v>1</v>
      </c>
      <c r="I22" s="35" t="s">
        <v>40</v>
      </c>
      <c r="J22" s="35"/>
      <c r="K22" s="49" t="s">
        <v>130</v>
      </c>
      <c r="L22" s="35"/>
      <c r="M22" s="35"/>
      <c r="N22" s="35">
        <v>0.02</v>
      </c>
      <c r="O22" s="35"/>
      <c r="P22" s="35"/>
      <c r="Q22" s="35"/>
      <c r="R22" s="35"/>
      <c r="S22" s="35">
        <v>10</v>
      </c>
      <c r="T22" s="50">
        <v>20</v>
      </c>
      <c r="U22" s="35" t="s">
        <v>40</v>
      </c>
      <c r="V22" s="8">
        <f>SUMIFS(raw_output!$K$2:$K$197,raw_output!$A$2:$A$197,'Overall Output. Labeled'!$U22,raw_output!$B$2:$B$197,'Overall Output. Labeled'!$S22,raw_output!$C$2:$C$197,'Overall Output. Labeled'!$T22,raw_output!$D$2:$D$197,'Overall Output. Labeled'!$P22,raw_output!$E$2:$E$197,'Overall Output. Labeled'!$Q22,raw_output!$F$2:$F$197,'Overall Output. Labeled'!$R22,raw_output!$M$2:$M$197,'Overall Output. Labeled'!$N22)</f>
        <v>0</v>
      </c>
      <c r="W22" s="35"/>
    </row>
    <row r="23" spans="1:23" x14ac:dyDescent="0.2">
      <c r="A23" s="8">
        <v>12</v>
      </c>
      <c r="B23" s="8"/>
      <c r="C23" s="8" t="s">
        <v>48</v>
      </c>
      <c r="D23" s="8"/>
      <c r="E23" s="8"/>
      <c r="F23" s="8">
        <v>1</v>
      </c>
      <c r="G23" s="8">
        <v>1</v>
      </c>
      <c r="H23" s="8">
        <v>1</v>
      </c>
      <c r="I23" s="8" t="str">
        <f t="shared" si="1"/>
        <v>40+</v>
      </c>
      <c r="J23" s="8" t="str">
        <f t="shared" ref="J23:J34" si="7">IF(V23&gt;1000,_xlfn.CONCAT(TEXT(V23/1000,"$#.0"),"T"),_xlfn.CONCAT(TEXT(V23,"$#"),"B"))</f>
        <v>$857B</v>
      </c>
      <c r="K23" s="8" t="str">
        <f>_xlfn.CONCAT(TEXT(SUMIFS(raw_output!$P$2:$P$197,raw_output!$M$2:$M$197,'Overall Output. Labeled'!$N21,raw_output!$A$2:$A$197,'Overall Output. Labeled'!$U21,raw_output!$B$2:$B$197,'Overall Output. Labeled'!$S21,raw_output!$C$2:$C$197,'Overall Output. Labeled'!$T21,raw_output!$D$2:$D$197,'Overall Output. Labeled'!$P21,raw_output!$E$2:$E$197,'Overall Output. Labeled'!$Q21,raw_output!$F$2:$F$197,'Overall Output. Labeled'!$R21),"$#.0"),"T")</f>
        <v>$28.4T</v>
      </c>
      <c r="L23" s="8" t="str">
        <f t="shared" ref="L23:L34" si="8">IF(W23&gt;1000,_xlfn.CONCAT(TEXT(W23/1000,"#.#"),"M"),_xlfn.CONCAT(TEXT(W23,"#"),"k"))</f>
        <v>3.1M</v>
      </c>
      <c r="M23" s="8" t="str">
        <f>TEXT(SUMIFS(raw_output!$L$2:$L$197,raw_output!$M$2:$M$197,'Overall Output. Labeled'!$N23,raw_output!$A$2:$A$197,'Overall Output. Labeled'!$U23,raw_output!$B$2:$B$197,'Overall Output. Labeled'!$S23,raw_output!$C$2:$C$197,'Overall Output. Labeled'!$T23,raw_output!$D$2:$D$197,'Overall Output. Labeled'!$P23,raw_output!$E$2:$E$197,'Overall Output. Labeled'!$Q23,raw_output!$F$2:$F$197,'Overall Output. Labeled'!$R23),"$#.##")</f>
        <v>$957.09</v>
      </c>
      <c r="N23" s="8">
        <v>0.02</v>
      </c>
      <c r="O23" s="8">
        <v>1</v>
      </c>
      <c r="P23" s="8">
        <f t="shared" ref="P23:Q26" si="9">F23*$O23</f>
        <v>1</v>
      </c>
      <c r="Q23" s="8">
        <f t="shared" si="9"/>
        <v>1</v>
      </c>
      <c r="R23" s="34">
        <v>0.5</v>
      </c>
      <c r="S23" s="8">
        <v>10</v>
      </c>
      <c r="T23" s="50">
        <v>20</v>
      </c>
      <c r="U23" s="8">
        <v>40</v>
      </c>
      <c r="V23" s="8">
        <f>SUMIFS(raw_output!$K$2:$K$197,raw_output!$A$2:$A$197,'Overall Output. Labeled'!$U23,raw_output!$B$2:$B$197,'Overall Output. Labeled'!$S23,raw_output!$C$2:$C$197,'Overall Output. Labeled'!$T23,raw_output!$D$2:$D$197,'Overall Output. Labeled'!$P23,raw_output!$E$2:$E$197,'Overall Output. Labeled'!$Q23,raw_output!$F$2:$F$197,'Overall Output. Labeled'!$R23,raw_output!$M$2:$M$197,'Overall Output. Labeled'!$N23)</f>
        <v>857.09417997486105</v>
      </c>
      <c r="W23" s="8">
        <f t="array" ref="W23">SUMIFS(raw_output!$J$2:$J$197,raw_output!$M$2:$M$197,'Overall Output. Labeled'!$N23,raw_output!$A$2:$A$197,'Overall Output. Labeled'!$U23,raw_output!$B$2:$B$197,'Overall Output. Labeled'!$S23,raw_output!$C$2:$C$197,'Overall Output. Labeled'!$T23,raw_output!$D$2:$D$197,'Overall Output. Labeled'!$P23,raw_output!$E$2:$E$197,'Overall Output. Labeled'!$Q23,raw_output!$F$2:$F$197,'Overall Output. Labeled'!$R23)*1000</f>
        <v>3127.9636949866099</v>
      </c>
    </row>
    <row r="24" spans="1:23" x14ac:dyDescent="0.2">
      <c r="A24" s="8" t="s">
        <v>56</v>
      </c>
      <c r="B24" s="8"/>
      <c r="C24" s="8" t="s">
        <v>53</v>
      </c>
      <c r="D24" s="8"/>
      <c r="E24" s="8"/>
      <c r="F24" s="8">
        <v>1</v>
      </c>
      <c r="G24" s="8">
        <v>0</v>
      </c>
      <c r="H24" s="8">
        <v>0</v>
      </c>
      <c r="I24" s="8" t="str">
        <f t="shared" si="1"/>
        <v>40+</v>
      </c>
      <c r="J24" s="8" t="str">
        <f t="shared" si="7"/>
        <v>$137B</v>
      </c>
      <c r="K24" s="8" t="str">
        <f>_xlfn.CONCAT(TEXT(SUMIFS(raw_output!$N$2:$N$197,raw_output!$M$2:$M$197,'Overall Output. Labeled'!$N24,raw_output!$A$2:$A$197,'Overall Output. Labeled'!$U24,raw_output!$B$2:$B$197,'Overall Output. Labeled'!$S24,raw_output!$C$2:$C$197,'Overall Output. Labeled'!$T24,raw_output!$D$2:$D$197,'Overall Output. Labeled'!$P24,raw_output!$E$2:$E$197,'Overall Output. Labeled'!$Q24,raw_output!$F$2:$F$197,'Overall Output. Labeled'!$R24),"$#.0"),"T")</f>
        <v>$7.8T</v>
      </c>
      <c r="L24" s="8" t="str">
        <f t="shared" si="8"/>
        <v>1.4M</v>
      </c>
      <c r="M24" s="8" t="str">
        <f>TEXT(SUMIFS(raw_output!$L$2:$L$197,raw_output!$M$2:$M$197,'Overall Output. Labeled'!$N24,raw_output!$A$2:$A$197,'Overall Output. Labeled'!$U24,raw_output!$B$2:$B$197,'Overall Output. Labeled'!$S24,raw_output!$C$2:$C$197,'Overall Output. Labeled'!$T24,raw_output!$D$2:$D$197,'Overall Output. Labeled'!$P24,raw_output!$E$2:$E$197,'Overall Output. Labeled'!$Q24,raw_output!$F$2:$F$197,'Overall Output. Labeled'!$R24),"$#.##")</f>
        <v>-$489.4</v>
      </c>
      <c r="N24" s="8">
        <v>0.02</v>
      </c>
      <c r="O24" s="8">
        <v>0.5</v>
      </c>
      <c r="P24" s="8">
        <f t="shared" si="9"/>
        <v>0.5</v>
      </c>
      <c r="Q24" s="8">
        <f t="shared" si="9"/>
        <v>0</v>
      </c>
      <c r="R24" s="8">
        <f>H24*$O24</f>
        <v>0</v>
      </c>
      <c r="S24" s="8">
        <v>10</v>
      </c>
      <c r="T24" s="50">
        <v>20</v>
      </c>
      <c r="U24" s="8">
        <v>40</v>
      </c>
      <c r="V24" s="8">
        <f>SUMIFS(raw_output!$K$2:$K$197,raw_output!$A$2:$A$197,'Overall Output. Labeled'!$U24,raw_output!$B$2:$B$197,'Overall Output. Labeled'!$S24,raw_output!$C$2:$C$197,'Overall Output. Labeled'!$T24,raw_output!$D$2:$D$197,'Overall Output. Labeled'!$P24,raw_output!$E$2:$E$197,'Overall Output. Labeled'!$Q24,raw_output!$F$2:$F$197,'Overall Output. Labeled'!$R24,raw_output!$M$2:$M$197,'Overall Output. Labeled'!$N24)</f>
        <v>137.08382162448899</v>
      </c>
      <c r="W24" s="8">
        <f t="array" ref="W24">SUMIFS(raw_output!$J$2:$J$197,raw_output!$M$2:$M$197,'Overall Output. Labeled'!$N24,raw_output!$A$2:$A$197,'Overall Output. Labeled'!$U24,raw_output!$B$2:$B$197,'Overall Output. Labeled'!$S24,raw_output!$C$2:$C$197,'Overall Output. Labeled'!$T24,raw_output!$D$2:$D$197,'Overall Output. Labeled'!$P24,raw_output!$E$2:$E$197,'Overall Output. Labeled'!$Q24,raw_output!$F$2:$F$197,'Overall Output. Labeled'!$R24)*1000</f>
        <v>1358.54213028357</v>
      </c>
    </row>
    <row r="25" spans="1:23" x14ac:dyDescent="0.2">
      <c r="A25" s="8" t="s">
        <v>56</v>
      </c>
      <c r="B25" s="8"/>
      <c r="C25" s="8" t="s">
        <v>54</v>
      </c>
      <c r="D25" s="8"/>
      <c r="E25" s="8"/>
      <c r="F25" s="8">
        <v>0</v>
      </c>
      <c r="G25" s="8">
        <v>1</v>
      </c>
      <c r="H25" s="8">
        <v>0</v>
      </c>
      <c r="I25" s="8" t="str">
        <f t="shared" si="1"/>
        <v>40+</v>
      </c>
      <c r="J25" s="8" t="str">
        <f t="shared" si="7"/>
        <v>$252B</v>
      </c>
      <c r="K25" s="8" t="str">
        <f>_xlfn.CONCAT(TEXT(SUMIFS(raw_output!$N$2:$N$197,raw_output!$M$2:$M$197,'Overall Output. Labeled'!$N25,raw_output!$A$2:$A$197,'Overall Output. Labeled'!$U25,raw_output!$B$2:$B$197,'Overall Output. Labeled'!$S25,raw_output!$C$2:$C$197,'Overall Output. Labeled'!$T25,raw_output!$D$2:$D$197,'Overall Output. Labeled'!$P25,raw_output!$E$2:$E$197,'Overall Output. Labeled'!$Q25,raw_output!$F$2:$F$197,'Overall Output. Labeled'!$R25),"$#.0"),"T")</f>
        <v>$10.6T</v>
      </c>
      <c r="L25" s="8" t="str">
        <f t="shared" si="8"/>
        <v>k</v>
      </c>
      <c r="M25" s="8" t="str">
        <f>TEXT(SUMIFS(raw_output!$L$2:$L$197,raw_output!$M$2:$M$197,'Overall Output. Labeled'!$N25,raw_output!$A$2:$A$197,'Overall Output. Labeled'!$U25,raw_output!$B$2:$B$197,'Overall Output. Labeled'!$S25,raw_output!$C$2:$C$197,'Overall Output. Labeled'!$T25,raw_output!$D$2:$D$197,'Overall Output. Labeled'!$P25,raw_output!$E$2:$E$197,'Overall Output. Labeled'!$Q25,raw_output!$F$2:$F$197,'Overall Output. Labeled'!$R25),"$#.##")</f>
        <v>$875.24</v>
      </c>
      <c r="N25" s="8">
        <v>0.02</v>
      </c>
      <c r="O25" s="8">
        <v>0.5</v>
      </c>
      <c r="P25" s="8">
        <f t="shared" si="9"/>
        <v>0</v>
      </c>
      <c r="Q25" s="8">
        <f t="shared" si="9"/>
        <v>0.5</v>
      </c>
      <c r="R25" s="8">
        <f>H25*$O25</f>
        <v>0</v>
      </c>
      <c r="S25" s="8">
        <v>10</v>
      </c>
      <c r="T25" s="50">
        <v>20</v>
      </c>
      <c r="U25" s="8">
        <v>40</v>
      </c>
      <c r="V25" s="8">
        <f>SUMIFS(raw_output!$K$2:$K$197,raw_output!$A$2:$A$197,'Overall Output. Labeled'!$U25,raw_output!$B$2:$B$197,'Overall Output. Labeled'!$S25,raw_output!$C$2:$C$197,'Overall Output. Labeled'!$T25,raw_output!$D$2:$D$197,'Overall Output. Labeled'!$P25,raw_output!$E$2:$E$197,'Overall Output. Labeled'!$Q25,raw_output!$F$2:$F$197,'Overall Output. Labeled'!$R25,raw_output!$M$2:$M$197,'Overall Output. Labeled'!$N25)</f>
        <v>252.272534999501</v>
      </c>
      <c r="W25" s="8">
        <f t="array" ref="W25">SUMIFS(raw_output!$J$2:$J$197,raw_output!$M$2:$M$197,'Overall Output. Labeled'!$N25,raw_output!$A$2:$A$197,'Overall Output. Labeled'!$U25,raw_output!$B$2:$B$197,'Overall Output. Labeled'!$S25,raw_output!$C$2:$C$197,'Overall Output. Labeled'!$T25,raw_output!$D$2:$D$197,'Overall Output. Labeled'!$P25,raw_output!$E$2:$E$197,'Overall Output. Labeled'!$Q25,raw_output!$F$2:$F$197,'Overall Output. Labeled'!$R25)*1000</f>
        <v>0</v>
      </c>
    </row>
    <row r="26" spans="1:23" x14ac:dyDescent="0.2">
      <c r="A26" s="8" t="s">
        <v>56</v>
      </c>
      <c r="B26" s="8"/>
      <c r="C26" s="8" t="s">
        <v>55</v>
      </c>
      <c r="D26" s="8"/>
      <c r="E26" s="8"/>
      <c r="F26" s="8">
        <v>0</v>
      </c>
      <c r="G26" s="8">
        <v>0</v>
      </c>
      <c r="H26" s="8">
        <v>1</v>
      </c>
      <c r="I26" s="8" t="str">
        <f t="shared" si="1"/>
        <v>40+</v>
      </c>
      <c r="J26" s="8" t="str">
        <f t="shared" si="7"/>
        <v>-$21B</v>
      </c>
      <c r="K26" s="8" t="str">
        <f>_xlfn.CONCAT(TEXT(SUMIFS(raw_output!$N$2:$N$197,raw_output!$M$2:$M$197,'Overall Output. Labeled'!$N26,raw_output!$A$2:$A$197,'Overall Output. Labeled'!$U26,raw_output!$B$2:$B$197,'Overall Output. Labeled'!$S26,raw_output!$C$2:$C$197,'Overall Output. Labeled'!$T26,raw_output!$D$2:$D$197,'Overall Output. Labeled'!$P26,raw_output!$E$2:$E$197,'Overall Output. Labeled'!$Q26,raw_output!$F$2:$F$197,'Overall Output. Labeled'!$R26),"$#.0"),"T")</f>
        <v>$8.0T</v>
      </c>
      <c r="L26" s="8" t="str">
        <f t="shared" si="8"/>
        <v>365k</v>
      </c>
      <c r="M26" s="8" t="str">
        <f>TEXT(SUMIFS(raw_output!$L$2:$L$197,raw_output!$M$2:$M$197,'Overall Output. Labeled'!$N26,raw_output!$A$2:$A$197,'Overall Output. Labeled'!$U26,raw_output!$B$2:$B$197,'Overall Output. Labeled'!$S26,raw_output!$C$2:$C$197,'Overall Output. Labeled'!$T26,raw_output!$D$2:$D$197,'Overall Output. Labeled'!$P26,raw_output!$E$2:$E$197,'Overall Output. Labeled'!$Q26,raw_output!$F$2:$F$197,'Overall Output. Labeled'!$R26),"$#.##")</f>
        <v>-$89.29</v>
      </c>
      <c r="N26" s="8">
        <v>0.02</v>
      </c>
      <c r="O26" s="8">
        <v>0.5</v>
      </c>
      <c r="P26" s="8">
        <f t="shared" si="9"/>
        <v>0</v>
      </c>
      <c r="Q26" s="8">
        <f t="shared" si="9"/>
        <v>0</v>
      </c>
      <c r="R26" s="8">
        <f>H26*$O26</f>
        <v>0.5</v>
      </c>
      <c r="S26" s="8">
        <v>10</v>
      </c>
      <c r="T26" s="50">
        <v>20</v>
      </c>
      <c r="U26" s="8">
        <v>40</v>
      </c>
      <c r="V26" s="8">
        <f>SUMIFS(raw_output!$K$2:$K$197,raw_output!$A$2:$A$197,'Overall Output. Labeled'!$U26,raw_output!$B$2:$B$197,'Overall Output. Labeled'!$S26,raw_output!$C$2:$C$197,'Overall Output. Labeled'!$T26,raw_output!$D$2:$D$197,'Overall Output. Labeled'!$P26,raw_output!$E$2:$E$197,'Overall Output. Labeled'!$Q26,raw_output!$F$2:$F$197,'Overall Output. Labeled'!$R26,raw_output!$M$2:$M$197,'Overall Output. Labeled'!$N26)</f>
        <v>-20.679366642440598</v>
      </c>
      <c r="W26" s="8">
        <f t="array" ref="W26">SUMIFS(raw_output!$J$2:$J$197,raw_output!$M$2:$M$197,'Overall Output. Labeled'!$N26,raw_output!$A$2:$A$197,'Overall Output. Labeled'!$U26,raw_output!$B$2:$B$197,'Overall Output. Labeled'!$S26,raw_output!$C$2:$C$197,'Overall Output. Labeled'!$T26,raw_output!$D$2:$D$197,'Overall Output. Labeled'!$P26,raw_output!$E$2:$E$197,'Overall Output. Labeled'!$Q26,raw_output!$F$2:$F$197,'Overall Output. Labeled'!$R26)*1000</f>
        <v>364.63356013707801</v>
      </c>
    </row>
    <row r="27" spans="1:23" x14ac:dyDescent="0.2">
      <c r="A27" s="8" t="s">
        <v>56</v>
      </c>
      <c r="B27" s="8"/>
      <c r="C27" s="8" t="s">
        <v>125</v>
      </c>
      <c r="D27" s="8"/>
      <c r="E27" s="8"/>
      <c r="F27" s="8"/>
      <c r="G27" s="8"/>
      <c r="H27" s="8"/>
      <c r="I27" s="8" t="str">
        <f t="shared" si="1"/>
        <v>40+</v>
      </c>
      <c r="J27" s="8" t="str">
        <f t="shared" si="7"/>
        <v>$22B</v>
      </c>
      <c r="K27" s="8" t="str">
        <f>_xlfn.CONCAT(TEXT(SUMIFS(raw_output!$N$2:$N$197,raw_output!$M$2:$M$197,'Overall Output. Labeled'!$N27,raw_output!$A$2:$A$197,'Overall Output. Labeled'!$U27,raw_output!$B$2:$B$197,'Overall Output. Labeled'!$S27,raw_output!$C$2:$C$197,'Overall Output. Labeled'!$T27,raw_output!$D$2:$D$197,'Overall Output. Labeled'!$P27,raw_output!$E$2:$E$197,'Overall Output. Labeled'!$Q27,raw_output!$F$2:$F$197,'Overall Output. Labeled'!$R27),"$#.0"),"T")</f>
        <v>$1.8T</v>
      </c>
      <c r="L27" s="8" t="str">
        <f t="shared" si="8"/>
        <v>349k</v>
      </c>
      <c r="M27" s="8" t="str">
        <f>TEXT(SUMIFS(raw_output!$L$2:$L$197,raw_output!$M$2:$M$197,'Overall Output. Labeled'!$N27,raw_output!$A$2:$A$197,'Overall Output. Labeled'!$U27,raw_output!$B$2:$B$197,'Overall Output. Labeled'!$S27,raw_output!$C$2:$C$197,'Overall Output. Labeled'!$T27,raw_output!$D$2:$D$197,'Overall Output. Labeled'!$P27,raw_output!$E$2:$E$197,'Overall Output. Labeled'!$Q27,raw_output!$F$2:$F$197,'Overall Output. Labeled'!$R27),"$#.##")</f>
        <v>-$170.95</v>
      </c>
      <c r="N27" s="8">
        <v>0.02</v>
      </c>
      <c r="O27" s="8">
        <v>1</v>
      </c>
      <c r="P27" s="8">
        <v>0.13</v>
      </c>
      <c r="Q27" s="8">
        <f t="shared" ref="Q27:Q29" si="10">G27</f>
        <v>0</v>
      </c>
      <c r="R27" s="8">
        <f t="shared" ref="R27:R28" si="11">H27</f>
        <v>0</v>
      </c>
      <c r="S27" s="8">
        <v>10</v>
      </c>
      <c r="T27" s="50">
        <v>20</v>
      </c>
      <c r="U27" s="8">
        <v>40</v>
      </c>
      <c r="V27" s="8">
        <f>SUMIFS(raw_output!$K$2:$K$197,raw_output!$A$2:$A$197,'Overall Output. Labeled'!$U27,raw_output!$B$2:$B$197,'Overall Output. Labeled'!$S27,raw_output!$C$2:$C$197,'Overall Output. Labeled'!$T27,raw_output!$D$2:$D$197,'Overall Output. Labeled'!$P27,raw_output!$E$2:$E$197,'Overall Output. Labeled'!$Q27,raw_output!$F$2:$F$197,'Overall Output. Labeled'!$R27,raw_output!$M$2:$M$197,'Overall Output. Labeled'!$N27)</f>
        <v>21.616460009132801</v>
      </c>
      <c r="W27" s="8">
        <f t="array" ref="W27">SUMIFS(raw_output!$J$2:$J$197,raw_output!$M$2:$M$197,'Overall Output. Labeled'!$N27,raw_output!$A$2:$A$197,'Overall Output. Labeled'!$U27,raw_output!$B$2:$B$197,'Overall Output. Labeled'!$S27,raw_output!$C$2:$C$197,'Overall Output. Labeled'!$T27,raw_output!$D$2:$D$197,'Overall Output. Labeled'!$P27,raw_output!$E$2:$E$197,'Overall Output. Labeled'!$Q27,raw_output!$F$2:$F$197,'Overall Output. Labeled'!$R27)*1000</f>
        <v>348.910629844732</v>
      </c>
    </row>
    <row r="28" spans="1:23" x14ac:dyDescent="0.2">
      <c r="A28" s="8" t="s">
        <v>56</v>
      </c>
      <c r="B28" s="8"/>
      <c r="C28" s="8" t="s">
        <v>50</v>
      </c>
      <c r="D28" s="8"/>
      <c r="E28" s="8"/>
      <c r="F28" s="8"/>
      <c r="G28" s="8"/>
      <c r="H28" s="8"/>
      <c r="I28" s="8" t="str">
        <f t="shared" si="1"/>
        <v>40+</v>
      </c>
      <c r="J28" s="8" t="str">
        <f t="shared" si="7"/>
        <v>$236B</v>
      </c>
      <c r="K28" s="8" t="str">
        <f>_xlfn.CONCAT(TEXT(SUMIFS(raw_output!$N$2:$N$197,raw_output!$M$2:$M$197,'Overall Output. Labeled'!$N28,raw_output!$A$2:$A$197,'Overall Output. Labeled'!$U28,raw_output!$B$2:$B$197,'Overall Output. Labeled'!$S28,raw_output!$C$2:$C$197,'Overall Output. Labeled'!$T28,raw_output!$D$2:$D$197,'Overall Output. Labeled'!$P28,raw_output!$E$2:$E$197,'Overall Output. Labeled'!$Q28,raw_output!$F$2:$F$197,'Overall Output. Labeled'!$R28),"$#.0"),"T")</f>
        <v>$9.9T</v>
      </c>
      <c r="L28" s="8" t="str">
        <f t="shared" si="8"/>
        <v>k</v>
      </c>
      <c r="M28" s="8" t="str">
        <f>TEXT(SUMIFS(raw_output!$L$2:$L$197,raw_output!$M$2:$M$197,'Overall Output. Labeled'!$N28,raw_output!$A$2:$A$197,'Overall Output. Labeled'!$U28,raw_output!$B$2:$B$197,'Overall Output. Labeled'!$S28,raw_output!$C$2:$C$197,'Overall Output. Labeled'!$T28,raw_output!$D$2:$D$197,'Overall Output. Labeled'!$P28,raw_output!$E$2:$E$197,'Overall Output. Labeled'!$Q28,raw_output!$F$2:$F$197,'Overall Output. Labeled'!$R28),"$#.##")</f>
        <v>$818.1</v>
      </c>
      <c r="N28" s="8">
        <v>0.02</v>
      </c>
      <c r="O28" s="8">
        <v>1</v>
      </c>
      <c r="P28" s="8">
        <f t="shared" ref="P28:P29" si="12">F28</f>
        <v>0</v>
      </c>
      <c r="Q28" s="8">
        <v>0.47</v>
      </c>
      <c r="R28" s="8">
        <f t="shared" si="11"/>
        <v>0</v>
      </c>
      <c r="S28" s="8">
        <v>10</v>
      </c>
      <c r="T28" s="50">
        <v>20</v>
      </c>
      <c r="U28" s="8">
        <v>40</v>
      </c>
      <c r="V28" s="8">
        <f>SUMIFS(raw_output!$K$2:$K$197,raw_output!$A$2:$A$197,'Overall Output. Labeled'!$U28,raw_output!$B$2:$B$197,'Overall Output. Labeled'!$S28,raw_output!$C$2:$C$197,'Overall Output. Labeled'!$T28,raw_output!$D$2:$D$197,'Overall Output. Labeled'!$P28,raw_output!$E$2:$E$197,'Overall Output. Labeled'!$Q28,raw_output!$F$2:$F$197,'Overall Output. Labeled'!$R28,raw_output!$M$2:$M$197,'Overall Output. Labeled'!$N28)</f>
        <v>235.769463877053</v>
      </c>
      <c r="W28" s="8">
        <f t="array" ref="W28">SUMIFS(raw_output!$J$2:$J$197,raw_output!$M$2:$M$197,'Overall Output. Labeled'!$N28,raw_output!$A$2:$A$197,'Overall Output. Labeled'!$U28,raw_output!$B$2:$B$197,'Overall Output. Labeled'!$S28,raw_output!$C$2:$C$197,'Overall Output. Labeled'!$T28,raw_output!$D$2:$D$197,'Overall Output. Labeled'!$P28,raw_output!$E$2:$E$197,'Overall Output. Labeled'!$Q28,raw_output!$F$2:$F$197,'Overall Output. Labeled'!$R28)*1000</f>
        <v>0</v>
      </c>
    </row>
    <row r="29" spans="1:23" x14ac:dyDescent="0.2">
      <c r="A29" s="8" t="s">
        <v>56</v>
      </c>
      <c r="B29" s="8"/>
      <c r="C29" s="8" t="s">
        <v>51</v>
      </c>
      <c r="D29" s="8"/>
      <c r="E29" s="8"/>
      <c r="F29" s="8"/>
      <c r="G29" s="8"/>
      <c r="H29" s="8"/>
      <c r="I29" s="8" t="str">
        <f t="shared" si="1"/>
        <v>40+</v>
      </c>
      <c r="J29" s="8" t="str">
        <f t="shared" si="7"/>
        <v>-$21B</v>
      </c>
      <c r="K29" s="8" t="str">
        <f>_xlfn.CONCAT(TEXT(SUMIFS(raw_output!$N$2:$N$197,raw_output!$M$2:$M$197,'Overall Output. Labeled'!$N29,raw_output!$A$2:$A$197,'Overall Output. Labeled'!$U29,raw_output!$B$2:$B$197,'Overall Output. Labeled'!$S29,raw_output!$C$2:$C$197,'Overall Output. Labeled'!$T29,raw_output!$D$2:$D$197,'Overall Output. Labeled'!$P29,raw_output!$E$2:$E$197,'Overall Output. Labeled'!$Q29,raw_output!$F$2:$F$197,'Overall Output. Labeled'!$R29),"$#.0"),"T")</f>
        <v>$8.7T</v>
      </c>
      <c r="L29" s="8" t="str">
        <f t="shared" si="8"/>
        <v>394k</v>
      </c>
      <c r="M29" s="8" t="str">
        <f>TEXT(SUMIFS(raw_output!$L$2:$L$197,raw_output!$M$2:$M$197,'Overall Output. Labeled'!$N29,raw_output!$A$2:$A$197,'Overall Output. Labeled'!$U29,raw_output!$B$2:$B$197,'Overall Output. Labeled'!$S29,raw_output!$C$2:$C$197,'Overall Output. Labeled'!$T29,raw_output!$D$2:$D$197,'Overall Output. Labeled'!$P29,raw_output!$E$2:$E$197,'Overall Output. Labeled'!$Q29,raw_output!$F$2:$F$197,'Overall Output. Labeled'!$R29),"$#.##")</f>
        <v>-$91.44</v>
      </c>
      <c r="N29" s="8">
        <v>0.02</v>
      </c>
      <c r="O29" s="8">
        <v>1</v>
      </c>
      <c r="P29" s="8">
        <f t="shared" si="12"/>
        <v>0</v>
      </c>
      <c r="Q29" s="8">
        <f t="shared" si="10"/>
        <v>0</v>
      </c>
      <c r="R29" s="8">
        <v>0.54</v>
      </c>
      <c r="S29" s="8">
        <v>10</v>
      </c>
      <c r="T29" s="50">
        <v>20</v>
      </c>
      <c r="U29" s="8">
        <v>40</v>
      </c>
      <c r="V29" s="8">
        <f>SUMIFS(raw_output!$K$2:$K$197,raw_output!$A$2:$A$197,'Overall Output. Labeled'!$U29,raw_output!$B$2:$B$197,'Overall Output. Labeled'!$S29,raw_output!$C$2:$C$197,'Overall Output. Labeled'!$T29,raw_output!$D$2:$D$197,'Overall Output. Labeled'!$P29,raw_output!$E$2:$E$197,'Overall Output. Labeled'!$Q29,raw_output!$F$2:$F$197,'Overall Output. Labeled'!$R29,raw_output!$M$2:$M$197,'Overall Output. Labeled'!$N29)</f>
        <v>-20.8515941594715</v>
      </c>
      <c r="W29" s="8">
        <f t="array" ref="W29">SUMIFS(raw_output!$J$2:$J$197,raw_output!$M$2:$M$197,'Overall Output. Labeled'!$N29,raw_output!$A$2:$A$197,'Overall Output. Labeled'!$U29,raw_output!$B$2:$B$197,'Overall Output. Labeled'!$S29,raw_output!$C$2:$C$197,'Overall Output. Labeled'!$T29,raw_output!$D$2:$D$197,'Overall Output. Labeled'!$P29,raw_output!$E$2:$E$197,'Overall Output. Labeled'!$Q29,raw_output!$F$2:$F$197,'Overall Output. Labeled'!$R29)*1000</f>
        <v>393.80424494804697</v>
      </c>
    </row>
    <row r="30" spans="1:23" x14ac:dyDescent="0.2">
      <c r="A30" s="8" t="s">
        <v>56</v>
      </c>
      <c r="B30" s="8"/>
      <c r="C30" s="8" t="s">
        <v>52</v>
      </c>
      <c r="D30" s="8"/>
      <c r="E30" s="8"/>
      <c r="F30" s="8"/>
      <c r="G30" s="8"/>
      <c r="H30" s="8"/>
      <c r="I30" s="8" t="str">
        <f t="shared" si="1"/>
        <v>40+</v>
      </c>
      <c r="J30" s="8" t="str">
        <f t="shared" si="7"/>
        <v>$274B</v>
      </c>
      <c r="K30" s="8" t="str">
        <f>_xlfn.CONCAT(TEXT(SUMIFS(raw_output!$N$2:$N$197,raw_output!$M$2:$M$197,'Overall Output. Labeled'!$N30,raw_output!$A$2:$A$197,'Overall Output. Labeled'!$U30,raw_output!$B$2:$B$197,'Overall Output. Labeled'!$S30,raw_output!$C$2:$C$197,'Overall Output. Labeled'!$T30,raw_output!$D$2:$D$197,'Overall Output. Labeled'!$P30,raw_output!$E$2:$E$197,'Overall Output. Labeled'!$Q30,raw_output!$F$2:$F$197,'Overall Output. Labeled'!$R30),"$#.0"),"T")</f>
        <v>$21.0T</v>
      </c>
      <c r="L30" s="8" t="str">
        <f t="shared" si="8"/>
        <v>743k</v>
      </c>
      <c r="M30" s="8" t="str">
        <f>TEXT(SUMIFS(raw_output!$L$2:$L$197,raw_output!$M$2:$M$197,'Overall Output. Labeled'!$N30,raw_output!$A$2:$A$197,'Overall Output. Labeled'!$U30,raw_output!$B$2:$B$197,'Overall Output. Labeled'!$S30,raw_output!$C$2:$C$197,'Overall Output. Labeled'!$T30,raw_output!$D$2:$D$197,'Overall Output. Labeled'!$P30,raw_output!$E$2:$E$197,'Overall Output. Labeled'!$Q30,raw_output!$F$2:$F$197,'Overall Output. Labeled'!$R30),"$#.##")</f>
        <v>$681.02</v>
      </c>
      <c r="N30" s="8">
        <v>0.02</v>
      </c>
      <c r="O30" s="8">
        <v>1</v>
      </c>
      <c r="P30" s="8">
        <v>0.13</v>
      </c>
      <c r="Q30" s="8">
        <v>0.47</v>
      </c>
      <c r="R30" s="8">
        <v>0.54</v>
      </c>
      <c r="S30" s="8">
        <v>10</v>
      </c>
      <c r="T30" s="8">
        <v>20</v>
      </c>
      <c r="U30" s="8">
        <v>40</v>
      </c>
      <c r="V30" s="8">
        <f>SUMIFS(raw_output!$K$2:$K$197,raw_output!$A$2:$A$197,'Overall Output. Labeled'!$U30,raw_output!$B$2:$B$197,'Overall Output. Labeled'!$S30,raw_output!$C$2:$C$197,'Overall Output. Labeled'!$T30,raw_output!$D$2:$D$197,'Overall Output. Labeled'!$P30,raw_output!$E$2:$E$197,'Overall Output. Labeled'!$Q30,raw_output!$F$2:$F$197,'Overall Output. Labeled'!$R30,raw_output!$M$2:$M$197,'Overall Output. Labeled'!$N30)</f>
        <v>274.08749956012298</v>
      </c>
      <c r="W30" s="8">
        <f t="array" ref="W30">SUMIFS(raw_output!$J$2:$J$197,raw_output!$M$2:$M$197,'Overall Output. Labeled'!$N30,raw_output!$A$2:$A$197,'Overall Output. Labeled'!$U30,raw_output!$B$2:$B$197,'Overall Output. Labeled'!$S30,raw_output!$C$2:$C$197,'Overall Output. Labeled'!$T30,raw_output!$D$2:$D$197,'Overall Output. Labeled'!$P30,raw_output!$E$2:$E$197,'Overall Output. Labeled'!$Q30,raw_output!$F$2:$F$197,'Overall Output. Labeled'!$R30)*1000</f>
        <v>742.72154631445994</v>
      </c>
    </row>
    <row r="31" spans="1:23" x14ac:dyDescent="0.2">
      <c r="A31" s="8" t="s">
        <v>56</v>
      </c>
      <c r="B31" s="8"/>
      <c r="C31" s="8" t="s">
        <v>57</v>
      </c>
      <c r="D31" s="8"/>
      <c r="E31" s="8"/>
      <c r="F31" s="8">
        <v>1</v>
      </c>
      <c r="G31" s="8">
        <v>1</v>
      </c>
      <c r="H31" s="8">
        <v>1</v>
      </c>
      <c r="I31" s="8" t="str">
        <f t="shared" si="1"/>
        <v>40+</v>
      </c>
      <c r="J31" s="8" t="str">
        <f t="shared" si="7"/>
        <v>$408B</v>
      </c>
      <c r="K31" s="8" t="str">
        <f>_xlfn.CONCAT(TEXT(SUMIFS(raw_output!$N$2:$N$197,raw_output!$M$2:$M$197,'Overall Output. Labeled'!$N31,raw_output!$A$2:$A$197,'Overall Output. Labeled'!$U31,raw_output!$B$2:$B$197,'Overall Output. Labeled'!$S31,raw_output!$C$2:$C$197,'Overall Output. Labeled'!$T31,raw_output!$D$2:$D$197,'Overall Output. Labeled'!$P31,raw_output!$E$2:$E$197,'Overall Output. Labeled'!$Q31,raw_output!$F$2:$F$197,'Overall Output. Labeled'!$R31),"$#.0"),"T")</f>
        <v>$53.3T</v>
      </c>
      <c r="L31" s="8" t="str">
        <f t="shared" si="8"/>
        <v>1.7M</v>
      </c>
      <c r="M31" s="8" t="str">
        <f>TEXT(SUMIFS(raw_output!$L$2:$L$197,raw_output!$M$2:$M$197,'Overall Output. Labeled'!$N31,raw_output!$A$2:$A$197,'Overall Output. Labeled'!$U31,raw_output!$B$2:$B$197,'Overall Output. Labeled'!$S31,raw_output!$C$2:$C$197,'Overall Output. Labeled'!$T31,raw_output!$D$2:$D$197,'Overall Output. Labeled'!$P31,raw_output!$E$2:$E$197,'Overall Output. Labeled'!$Q31,raw_output!$F$2:$F$197,'Overall Output. Labeled'!$R31),"$#.##")</f>
        <v>$425.39</v>
      </c>
      <c r="N31" s="8">
        <v>0.01</v>
      </c>
      <c r="O31" s="8">
        <v>0.5</v>
      </c>
      <c r="P31" s="8">
        <f t="shared" ref="P31:P34" si="13">F31*$O31</f>
        <v>0.5</v>
      </c>
      <c r="Q31" s="8">
        <f t="shared" ref="Q31:Q34" si="14">G31*$O31</f>
        <v>0.5</v>
      </c>
      <c r="R31" s="8">
        <f t="shared" ref="R31:R34" si="15">H31*$O31</f>
        <v>0.5</v>
      </c>
      <c r="S31" s="8">
        <v>10</v>
      </c>
      <c r="T31" s="8">
        <v>20</v>
      </c>
      <c r="U31" s="8">
        <v>40</v>
      </c>
      <c r="V31" s="8">
        <f>SUMIFS(raw_output!$K$2:$K$197,raw_output!$A$2:$A$197,'Overall Output. Labeled'!$U31,raw_output!$B$2:$B$197,'Overall Output. Labeled'!$S31,raw_output!$C$2:$C$197,'Overall Output. Labeled'!$T31,raw_output!$D$2:$D$197,'Overall Output. Labeled'!$P31,raw_output!$E$2:$E$197,'Overall Output. Labeled'!$Q31,raw_output!$F$2:$F$197,'Overall Output. Labeled'!$R31,raw_output!$M$2:$M$197,'Overall Output. Labeled'!$N31)</f>
        <v>408.38261914938897</v>
      </c>
      <c r="W31" s="8">
        <f t="array" ref="W31">SUMIFS(raw_output!$J$2:$J$197,raw_output!$M$2:$M$197,'Overall Output. Labeled'!$N31,raw_output!$A$2:$A$197,'Overall Output. Labeled'!$U31,raw_output!$B$2:$B$197,'Overall Output. Labeled'!$S31,raw_output!$C$2:$C$197,'Overall Output. Labeled'!$T31,raw_output!$D$2:$D$197,'Overall Output. Labeled'!$P31,raw_output!$E$2:$E$197,'Overall Output. Labeled'!$Q31,raw_output!$F$2:$F$197,'Overall Output. Labeled'!$R31)*1000</f>
        <v>1723.1994507107499</v>
      </c>
    </row>
    <row r="32" spans="1:23" x14ac:dyDescent="0.2">
      <c r="A32" s="8" t="s">
        <v>56</v>
      </c>
      <c r="B32" s="8"/>
      <c r="C32" s="8" t="s">
        <v>58</v>
      </c>
      <c r="D32" s="8"/>
      <c r="E32" s="8"/>
      <c r="F32" s="8">
        <v>1</v>
      </c>
      <c r="G32" s="8">
        <v>1</v>
      </c>
      <c r="H32" s="8">
        <v>1</v>
      </c>
      <c r="I32" s="8" t="str">
        <f t="shared" si="1"/>
        <v>40+</v>
      </c>
      <c r="J32" s="8" t="str">
        <f t="shared" si="7"/>
        <v>$408B</v>
      </c>
      <c r="K32" s="8" t="str">
        <f>_xlfn.CONCAT(TEXT(SUMIFS(raw_output!$N$2:$N$197,raw_output!$M$2:$M$197,'Overall Output. Labeled'!$N32,raw_output!$A$2:$A$197,'Overall Output. Labeled'!$U32,raw_output!$B$2:$B$197,'Overall Output. Labeled'!$S32,raw_output!$C$2:$C$197,'Overall Output. Labeled'!$T32,raw_output!$D$2:$D$197,'Overall Output. Labeled'!$P32,raw_output!$E$2:$E$197,'Overall Output. Labeled'!$Q32,raw_output!$F$2:$F$197,'Overall Output. Labeled'!$R32),"$#.0"),"T")</f>
        <v>$14.6T</v>
      </c>
      <c r="L32" s="8" t="str">
        <f t="shared" si="8"/>
        <v>1.7M</v>
      </c>
      <c r="M32" s="8" t="str">
        <f>TEXT(SUMIFS(raw_output!$L$2:$L$197,raw_output!$M$2:$M$197,'Overall Output. Labeled'!$N32,raw_output!$A$2:$A$197,'Overall Output. Labeled'!$U32,raw_output!$B$2:$B$197,'Overall Output. Labeled'!$S32,raw_output!$C$2:$C$197,'Overall Output. Labeled'!$T32,raw_output!$D$2:$D$197,'Overall Output. Labeled'!$P32,raw_output!$E$2:$E$197,'Overall Output. Labeled'!$Q32,raw_output!$F$2:$F$197,'Overall Output. Labeled'!$R32),"$#.##")</f>
        <v>$425.39</v>
      </c>
      <c r="N32" s="8">
        <v>0.03</v>
      </c>
      <c r="O32" s="8">
        <v>0.5</v>
      </c>
      <c r="P32" s="8">
        <f t="shared" si="13"/>
        <v>0.5</v>
      </c>
      <c r="Q32" s="8">
        <f t="shared" si="14"/>
        <v>0.5</v>
      </c>
      <c r="R32" s="8">
        <f t="shared" si="15"/>
        <v>0.5</v>
      </c>
      <c r="S32" s="8">
        <v>10</v>
      </c>
      <c r="T32" s="50">
        <v>20</v>
      </c>
      <c r="U32" s="8">
        <v>40</v>
      </c>
      <c r="V32" s="8">
        <f>SUMIFS(raw_output!$K$2:$K$197,raw_output!$A$2:$A$197,'Overall Output. Labeled'!$U32,raw_output!$B$2:$B$197,'Overall Output. Labeled'!$S32,raw_output!$C$2:$C$197,'Overall Output. Labeled'!$T32,raw_output!$D$2:$D$197,'Overall Output. Labeled'!$P32,raw_output!$E$2:$E$197,'Overall Output. Labeled'!$Q32,raw_output!$F$2:$F$197,'Overall Output. Labeled'!$R32,raw_output!$M$2:$M$197,'Overall Output. Labeled'!$N32)</f>
        <v>408.38261914938897</v>
      </c>
      <c r="W32" s="8">
        <f t="array" ref="W32">SUMIFS(raw_output!$J$2:$J$197,raw_output!$M$2:$M$197,'Overall Output. Labeled'!$N32,raw_output!$A$2:$A$197,'Overall Output. Labeled'!$U32,raw_output!$B$2:$B$197,'Overall Output. Labeled'!$S32,raw_output!$C$2:$C$197,'Overall Output. Labeled'!$T32,raw_output!$D$2:$D$197,'Overall Output. Labeled'!$P32,raw_output!$E$2:$E$197,'Overall Output. Labeled'!$Q32,raw_output!$F$2:$F$197,'Overall Output. Labeled'!$R32)*1000</f>
        <v>1723.1994507107499</v>
      </c>
    </row>
    <row r="33" spans="1:23" x14ac:dyDescent="0.2">
      <c r="A33" s="8" t="s">
        <v>56</v>
      </c>
      <c r="B33" s="8"/>
      <c r="C33" s="8" t="s">
        <v>59</v>
      </c>
      <c r="D33" s="8"/>
      <c r="E33" s="8"/>
      <c r="F33" s="8">
        <v>1</v>
      </c>
      <c r="G33" s="8">
        <v>1</v>
      </c>
      <c r="H33" s="8">
        <v>1</v>
      </c>
      <c r="I33" s="8" t="str">
        <f t="shared" si="1"/>
        <v>40+</v>
      </c>
      <c r="J33" s="8" t="str">
        <f t="shared" si="7"/>
        <v>$408B</v>
      </c>
      <c r="K33" s="8" t="str">
        <f>_xlfn.CONCAT(TEXT(SUMIFS(raw_output!$N$2:$N$197,raw_output!$M$2:$M$197,'Overall Output. Labeled'!$N33,raw_output!$A$2:$A$197,'Overall Output. Labeled'!$U33,raw_output!$B$2:$B$197,'Overall Output. Labeled'!$S33,raw_output!$C$2:$C$197,'Overall Output. Labeled'!$T33,raw_output!$D$2:$D$197,'Overall Output. Labeled'!$P33,raw_output!$E$2:$E$197,'Overall Output. Labeled'!$Q33,raw_output!$F$2:$F$197,'Overall Output. Labeled'!$R33),"$#.0"),"T")</f>
        <v>$8.3T</v>
      </c>
      <c r="L33" s="8" t="str">
        <f t="shared" si="8"/>
        <v>1.7M</v>
      </c>
      <c r="M33" s="8" t="str">
        <f>TEXT(SUMIFS(raw_output!$L$2:$L$197,raw_output!$M$2:$M$197,'Overall Output. Labeled'!$N33,raw_output!$A$2:$A$197,'Overall Output. Labeled'!$U33,raw_output!$B$2:$B$197,'Overall Output. Labeled'!$S33,raw_output!$C$2:$C$197,'Overall Output. Labeled'!$T33,raw_output!$D$2:$D$197,'Overall Output. Labeled'!$P33,raw_output!$E$2:$E$197,'Overall Output. Labeled'!$Q33,raw_output!$F$2:$F$197,'Overall Output. Labeled'!$R33),"$#.##")</f>
        <v>$425.39</v>
      </c>
      <c r="N33" s="8">
        <v>0.04</v>
      </c>
      <c r="O33" s="8">
        <v>0.5</v>
      </c>
      <c r="P33" s="8">
        <f t="shared" si="13"/>
        <v>0.5</v>
      </c>
      <c r="Q33" s="8">
        <f t="shared" si="14"/>
        <v>0.5</v>
      </c>
      <c r="R33" s="8">
        <f t="shared" si="15"/>
        <v>0.5</v>
      </c>
      <c r="S33" s="8">
        <v>10</v>
      </c>
      <c r="T33" s="50">
        <v>20</v>
      </c>
      <c r="U33" s="8">
        <v>40</v>
      </c>
      <c r="V33" s="8">
        <f>SUMIFS(raw_output!$K$2:$K$197,raw_output!$A$2:$A$197,'Overall Output. Labeled'!$U33,raw_output!$B$2:$B$197,'Overall Output. Labeled'!$S33,raw_output!$C$2:$C$197,'Overall Output. Labeled'!$T33,raw_output!$D$2:$D$197,'Overall Output. Labeled'!$P33,raw_output!$E$2:$E$197,'Overall Output. Labeled'!$Q33,raw_output!$F$2:$F$197,'Overall Output. Labeled'!$R33,raw_output!$M$2:$M$197,'Overall Output. Labeled'!$N33)</f>
        <v>408.38261914938897</v>
      </c>
      <c r="W33" s="8">
        <f t="array" ref="W33">SUMIFS(raw_output!$J$2:$J$197,raw_output!$M$2:$M$197,'Overall Output. Labeled'!$N33,raw_output!$A$2:$A$197,'Overall Output. Labeled'!$U33,raw_output!$B$2:$B$197,'Overall Output. Labeled'!$S33,raw_output!$C$2:$C$197,'Overall Output. Labeled'!$T33,raw_output!$D$2:$D$197,'Overall Output. Labeled'!$P33,raw_output!$E$2:$E$197,'Overall Output. Labeled'!$Q33,raw_output!$F$2:$F$197,'Overall Output. Labeled'!$R33)*1000</f>
        <v>1723.1994507107499</v>
      </c>
    </row>
    <row r="34" spans="1:23" x14ac:dyDescent="0.2">
      <c r="A34" s="8" t="s">
        <v>56</v>
      </c>
      <c r="B34" s="8"/>
      <c r="C34" s="8" t="s">
        <v>60</v>
      </c>
      <c r="D34" s="8"/>
      <c r="E34" s="8"/>
      <c r="F34" s="8">
        <v>1</v>
      </c>
      <c r="G34" s="8">
        <v>1</v>
      </c>
      <c r="H34" s="8">
        <v>1</v>
      </c>
      <c r="I34" s="8" t="str">
        <f t="shared" si="1"/>
        <v>40+</v>
      </c>
      <c r="J34" s="8" t="str">
        <f t="shared" si="7"/>
        <v>$408B</v>
      </c>
      <c r="K34" s="8" t="str">
        <f>_xlfn.CONCAT(TEXT(SUMIFS(raw_output!$N$2:$N$197,raw_output!$M$2:$M$197,'Overall Output. Labeled'!$N34,raw_output!$A$2:$A$197,'Overall Output. Labeled'!$U34,raw_output!$B$2:$B$197,'Overall Output. Labeled'!$S34,raw_output!$C$2:$C$197,'Overall Output. Labeled'!$T34,raw_output!$D$2:$D$197,'Overall Output. Labeled'!$P34,raw_output!$E$2:$E$197,'Overall Output. Labeled'!$Q34,raw_output!$F$2:$F$197,'Overall Output. Labeled'!$R34),"$#.0"),"T")</f>
        <v>$5.0T</v>
      </c>
      <c r="L34" s="8" t="str">
        <f t="shared" si="8"/>
        <v>1.7M</v>
      </c>
      <c r="M34" s="8" t="str">
        <f>TEXT(SUMIFS(raw_output!$L$2:$L$197,raw_output!$M$2:$M$197,'Overall Output. Labeled'!$N34,raw_output!$A$2:$A$197,'Overall Output. Labeled'!$U34,raw_output!$B$2:$B$197,'Overall Output. Labeled'!$S34,raw_output!$C$2:$C$197,'Overall Output. Labeled'!$T34,raw_output!$D$2:$D$197,'Overall Output. Labeled'!$P34,raw_output!$E$2:$E$197,'Overall Output. Labeled'!$Q34,raw_output!$F$2:$F$197,'Overall Output. Labeled'!$R34),"$#.##")</f>
        <v>$425.39</v>
      </c>
      <c r="N34" s="8">
        <v>0.05</v>
      </c>
      <c r="O34" s="8">
        <v>0.5</v>
      </c>
      <c r="P34" s="8">
        <f t="shared" si="13"/>
        <v>0.5</v>
      </c>
      <c r="Q34" s="8">
        <f t="shared" si="14"/>
        <v>0.5</v>
      </c>
      <c r="R34" s="8">
        <f t="shared" si="15"/>
        <v>0.5</v>
      </c>
      <c r="S34" s="8">
        <v>10</v>
      </c>
      <c r="T34" s="50">
        <v>20</v>
      </c>
      <c r="U34" s="8">
        <v>40</v>
      </c>
      <c r="V34" s="8">
        <f>SUMIFS(raw_output!$K$2:$K$197,raw_output!$A$2:$A$197,'Overall Output. Labeled'!$U34,raw_output!$B$2:$B$197,'Overall Output. Labeled'!$S34,raw_output!$C$2:$C$197,'Overall Output. Labeled'!$T34,raw_output!$D$2:$D$197,'Overall Output. Labeled'!$P34,raw_output!$E$2:$E$197,'Overall Output. Labeled'!$Q34,raw_output!$F$2:$F$197,'Overall Output. Labeled'!$R34,raw_output!$M$2:$M$197,'Overall Output. Labeled'!$N34)</f>
        <v>408.38261914938897</v>
      </c>
      <c r="W34" s="8">
        <f t="array" ref="W34">SUMIFS(raw_output!$J$2:$J$197,raw_output!$M$2:$M$197,'Overall Output. Labeled'!$N34,raw_output!$A$2:$A$197,'Overall Output. Labeled'!$U34,raw_output!$B$2:$B$197,'Overall Output. Labeled'!$S34,raw_output!$C$2:$C$197,'Overall Output. Labeled'!$T34,raw_output!$D$2:$D$197,'Overall Output. Labeled'!$P34,raw_output!$E$2:$E$197,'Overall Output. Labeled'!$Q34,raw_output!$F$2:$F$197,'Overall Output. Labeled'!$R34)*1000</f>
        <v>1723.1994507107499</v>
      </c>
    </row>
    <row r="39" spans="1:23" x14ac:dyDescent="0.2">
      <c r="A39" t="s">
        <v>109</v>
      </c>
    </row>
    <row r="40" spans="1:23" x14ac:dyDescent="0.2">
      <c r="A40" s="6" t="s">
        <v>45</v>
      </c>
      <c r="B40" s="6"/>
      <c r="C40" s="6"/>
      <c r="D40" s="6"/>
    </row>
    <row r="41" spans="1:23" x14ac:dyDescent="0.2">
      <c r="A41" s="24" t="s">
        <v>81</v>
      </c>
      <c r="B41" s="24"/>
      <c r="C41" s="24"/>
      <c r="D41" s="24"/>
    </row>
    <row r="42" spans="1:23" x14ac:dyDescent="0.2">
      <c r="A42" s="29" t="s">
        <v>107</v>
      </c>
      <c r="B42" s="29"/>
      <c r="C42" s="29"/>
      <c r="D42" s="29"/>
    </row>
    <row r="43" spans="1:23" x14ac:dyDescent="0.2">
      <c r="A43" s="3" t="s">
        <v>108</v>
      </c>
      <c r="B43" s="3"/>
      <c r="C43" s="3"/>
      <c r="D43" s="3"/>
    </row>
    <row r="45" spans="1:23" x14ac:dyDescent="0.2">
      <c r="C45" s="4" t="s">
        <v>126</v>
      </c>
    </row>
    <row r="49" spans="1:23" x14ac:dyDescent="0.2">
      <c r="A49" s="8" t="s">
        <v>133</v>
      </c>
      <c r="B49" s="8"/>
      <c r="C49" s="8" t="s">
        <v>57</v>
      </c>
      <c r="D49" s="8"/>
      <c r="E49" s="8"/>
      <c r="F49" s="8">
        <v>1</v>
      </c>
      <c r="G49" s="8">
        <v>1</v>
      </c>
      <c r="H49" s="8">
        <v>1</v>
      </c>
      <c r="I49" s="8" t="str">
        <f t="shared" ref="I49" si="16">CONCATENATE(U49,"+")</f>
        <v>40+</v>
      </c>
      <c r="J49" s="8" t="str">
        <f t="shared" ref="J49" si="17">IF(V49&gt;1000,_xlfn.CONCAT(TEXT(V49/1000,"$#.0"),"T"),_xlfn.CONCAT(TEXT(V49,"$#"),"B"))</f>
        <v>$408B</v>
      </c>
      <c r="K49" s="8" t="str">
        <f>_xlfn.CONCAT(TEXT(SUMIFS(raw_output!$N$2:$N$197,raw_output!$M$2:$M$197,'Overall Output. Labeled'!$N49,raw_output!$A$2:$A$197,'Overall Output. Labeled'!$U49,raw_output!$B$2:$B$197,'Overall Output. Labeled'!$S49,raw_output!$C$2:$C$197,'Overall Output. Labeled'!$T49,raw_output!$D$2:$D$197,'Overall Output. Labeled'!$P49,raw_output!$E$2:$E$197,'Overall Output. Labeled'!$Q49,raw_output!$F$2:$F$197,'Overall Output. Labeled'!$R49),"$#.0"),"T")</f>
        <v>$53.3T</v>
      </c>
      <c r="L49" s="8" t="str">
        <f t="shared" ref="L49" si="18">IF(W49&gt;1000,_xlfn.CONCAT(TEXT(W49/1000,"#.#"),"M"),_xlfn.CONCAT(TEXT(W49,"#"),"k"))</f>
        <v>1.7M</v>
      </c>
      <c r="M49" s="8" t="str">
        <f>TEXT(SUMIFS(raw_output!$L$2:$L$197,raw_output!$M$2:$M$197,'Overall Output. Labeled'!$N49,raw_output!$A$2:$A$197,'Overall Output. Labeled'!$U49,raw_output!$B$2:$B$197,'Overall Output. Labeled'!$S49,raw_output!$C$2:$C$197,'Overall Output. Labeled'!$T49,raw_output!$D$2:$D$197,'Overall Output. Labeled'!$P49,raw_output!$E$2:$E$197,'Overall Output. Labeled'!$Q49,raw_output!$F$2:$F$197,'Overall Output. Labeled'!$R49),"$#.##")</f>
        <v>$425.39</v>
      </c>
      <c r="N49" s="8">
        <v>0.01</v>
      </c>
      <c r="O49" s="8">
        <v>0.5</v>
      </c>
      <c r="P49" s="8">
        <f t="shared" ref="P49" si="19">F49*$O49</f>
        <v>0.5</v>
      </c>
      <c r="Q49" s="8">
        <f t="shared" ref="Q49" si="20">G49*$O49</f>
        <v>0.5</v>
      </c>
      <c r="R49" s="8">
        <f t="shared" ref="R49" si="21">H49*$O49</f>
        <v>0.5</v>
      </c>
      <c r="S49" s="8">
        <v>10</v>
      </c>
      <c r="T49" s="50">
        <v>20</v>
      </c>
      <c r="U49" s="8">
        <v>40</v>
      </c>
      <c r="V49" s="8">
        <f>SUMIFS(raw_output!$K$2:$K$197,raw_output!$M$2:$M$197,'Overall Output. Labeled'!$N49,raw_output!$A$2:$A$197,'Overall Output. Labeled'!$U49,raw_output!$B$2:$B$197,'Overall Output. Labeled'!$S49,raw_output!$C$2:$C$197,'Overall Output. Labeled'!$T49,raw_output!$D$2:$D$197,'Overall Output. Labeled'!$P49,raw_output!$E$2:$E$197,'Overall Output. Labeled'!$Q49,raw_output!$F$2:$F$197,'Overall Output. Labeled'!$R49)</f>
        <v>408.38261914938897</v>
      </c>
      <c r="W49" s="8">
        <f t="array" ref="W49">SUMIFS(raw_output!$J$2:$J$197,raw_output!$M$2:$M$197,'Overall Output. Labeled'!$N49,raw_output!$A$2:$A$197,'Overall Output. Labeled'!$U49,raw_output!$B$2:$B$197,'Overall Output. Labeled'!$S49,raw_output!$C$2:$C$197,'Overall Output. Labeled'!$T49,raw_output!$D$2:$D$197,'Overall Output. Labeled'!$P49,raw_output!$E$2:$E$197,'Overall Output. Labeled'!$Q49,raw_output!$F$2:$F$197,'Overall Output. Labeled'!$R49)*1000</f>
        <v>1723.1994507107499</v>
      </c>
    </row>
    <row r="50" spans="1:23" x14ac:dyDescent="0.2">
      <c r="A50" s="8" t="s">
        <v>133</v>
      </c>
      <c r="B50" s="8"/>
      <c r="C50" s="8" t="s">
        <v>134</v>
      </c>
      <c r="D50" s="8"/>
      <c r="E50" s="8"/>
      <c r="F50" s="8">
        <v>1</v>
      </c>
      <c r="G50" s="8">
        <v>1</v>
      </c>
      <c r="H50" s="8">
        <v>1</v>
      </c>
      <c r="I50" s="8" t="str">
        <f t="shared" ref="I50:I51" si="22">CONCATENATE(U50,"+")</f>
        <v>40+</v>
      </c>
      <c r="J50" s="8" t="str">
        <f t="shared" ref="J50:J51" si="23">IF(V50&gt;1000,_xlfn.CONCAT(TEXT(V50/1000,"$#.0"),"T"),_xlfn.CONCAT(TEXT(V50,"$#"),"B"))</f>
        <v>$408B</v>
      </c>
      <c r="K50" s="8" t="str">
        <f>_xlfn.CONCAT(TEXT(SUMIFS(raw_output!$N$2:$N$197,raw_output!$M$2:$M$197,'Overall Output. Labeled'!$N50,raw_output!$A$2:$A$197,'Overall Output. Labeled'!$U50,raw_output!$B$2:$B$197,'Overall Output. Labeled'!$S50,raw_output!$C$2:$C$197,'Overall Output. Labeled'!$T50,raw_output!$D$2:$D$197,'Overall Output. Labeled'!$P50,raw_output!$E$2:$E$197,'Overall Output. Labeled'!$Q50,raw_output!$F$2:$F$197,'Overall Output. Labeled'!$R50),"$#.0"),"T")</f>
        <v>$27.1T</v>
      </c>
      <c r="L50" s="8" t="str">
        <f t="shared" ref="L50:L51" si="24">IF(W50&gt;1000,_xlfn.CONCAT(TEXT(W50/1000,"#.#"),"M"),_xlfn.CONCAT(TEXT(W50,"#"),"k"))</f>
        <v>1.7M</v>
      </c>
      <c r="M50" s="8" t="str">
        <f>TEXT(SUMIFS(raw_output!$L$2:$L$197,raw_output!$M$2:$M$197,'Overall Output. Labeled'!$N50,raw_output!$A$2:$A$197,'Overall Output. Labeled'!$U50,raw_output!$B$2:$B$197,'Overall Output. Labeled'!$S50,raw_output!$C$2:$C$197,'Overall Output. Labeled'!$T50,raw_output!$D$2:$D$197,'Overall Output. Labeled'!$P50,raw_output!$E$2:$E$197,'Overall Output. Labeled'!$Q50,raw_output!$F$2:$F$197,'Overall Output. Labeled'!$R50),"$#.##")</f>
        <v>$425.39</v>
      </c>
      <c r="N50" s="8">
        <v>0.02</v>
      </c>
      <c r="O50" s="8">
        <v>0.5</v>
      </c>
      <c r="P50" s="8">
        <f t="shared" ref="P50:P51" si="25">F50*$O50</f>
        <v>0.5</v>
      </c>
      <c r="Q50" s="8">
        <f t="shared" ref="Q50:Q51" si="26">G50*$O50</f>
        <v>0.5</v>
      </c>
      <c r="R50" s="8">
        <f t="shared" ref="R50:R51" si="27">H50*$O50</f>
        <v>0.5</v>
      </c>
      <c r="S50" s="8">
        <v>10</v>
      </c>
      <c r="T50" s="50">
        <v>20</v>
      </c>
      <c r="U50" s="8">
        <v>40</v>
      </c>
      <c r="V50" s="8">
        <f>SUMIFS(raw_output!$K$2:$K$197,raw_output!$M$2:$M$197,'Overall Output. Labeled'!$N50,raw_output!$A$2:$A$197,'Overall Output. Labeled'!$U50,raw_output!$B$2:$B$197,'Overall Output. Labeled'!$S50,raw_output!$C$2:$C$197,'Overall Output. Labeled'!$T50,raw_output!$D$2:$D$197,'Overall Output. Labeled'!$P50,raw_output!$E$2:$E$197,'Overall Output. Labeled'!$Q50,raw_output!$F$2:$F$197,'Overall Output. Labeled'!$R50)</f>
        <v>408.38261914938897</v>
      </c>
      <c r="W50" s="8">
        <f t="array" ref="W50">SUMIFS(raw_output!$J$2:$J$197,raw_output!$M$2:$M$197,'Overall Output. Labeled'!$N50,raw_output!$A$2:$A$197,'Overall Output. Labeled'!$U50,raw_output!$B$2:$B$197,'Overall Output. Labeled'!$S50,raw_output!$C$2:$C$197,'Overall Output. Labeled'!$T50,raw_output!$D$2:$D$197,'Overall Output. Labeled'!$P50,raw_output!$E$2:$E$197,'Overall Output. Labeled'!$Q50,raw_output!$F$2:$F$197,'Overall Output. Labeled'!$R50)*1000</f>
        <v>1723.1994507107499</v>
      </c>
    </row>
    <row r="51" spans="1:23" x14ac:dyDescent="0.2">
      <c r="A51" s="8" t="s">
        <v>133</v>
      </c>
      <c r="B51" s="8"/>
      <c r="C51" s="8" t="s">
        <v>58</v>
      </c>
      <c r="D51" s="8"/>
      <c r="E51" s="8"/>
      <c r="F51" s="8">
        <v>1</v>
      </c>
      <c r="G51" s="8">
        <v>1</v>
      </c>
      <c r="H51" s="8">
        <v>1</v>
      </c>
      <c r="I51" s="8" t="str">
        <f t="shared" si="22"/>
        <v>40+</v>
      </c>
      <c r="J51" s="8" t="str">
        <f t="shared" si="23"/>
        <v>$408B</v>
      </c>
      <c r="K51" s="8" t="str">
        <f>_xlfn.CONCAT(TEXT(SUMIFS(raw_output!$N$2:$N$197,raw_output!$M$2:$M$197,'Overall Output. Labeled'!$N51,raw_output!$A$2:$A$197,'Overall Output. Labeled'!$U51,raw_output!$B$2:$B$197,'Overall Output. Labeled'!$S51,raw_output!$C$2:$C$197,'Overall Output. Labeled'!$T51,raw_output!$D$2:$D$197,'Overall Output. Labeled'!$P51,raw_output!$E$2:$E$197,'Overall Output. Labeled'!$Q51,raw_output!$F$2:$F$197,'Overall Output. Labeled'!$R51),"$#.0"),"T")</f>
        <v>$14.6T</v>
      </c>
      <c r="L51" s="8" t="str">
        <f t="shared" si="24"/>
        <v>1.7M</v>
      </c>
      <c r="M51" s="8" t="str">
        <f>TEXT(SUMIFS(raw_output!$L$2:$L$197,raw_output!$M$2:$M$197,'Overall Output. Labeled'!$N51,raw_output!$A$2:$A$197,'Overall Output. Labeled'!$U51,raw_output!$B$2:$B$197,'Overall Output. Labeled'!$S51,raw_output!$C$2:$C$197,'Overall Output. Labeled'!$T51,raw_output!$D$2:$D$197,'Overall Output. Labeled'!$P51,raw_output!$E$2:$E$197,'Overall Output. Labeled'!$Q51,raw_output!$F$2:$F$197,'Overall Output. Labeled'!$R51),"$#.##")</f>
        <v>$425.39</v>
      </c>
      <c r="N51" s="8">
        <v>0.03</v>
      </c>
      <c r="O51" s="8">
        <v>0.5</v>
      </c>
      <c r="P51" s="8">
        <f t="shared" si="25"/>
        <v>0.5</v>
      </c>
      <c r="Q51" s="8">
        <f t="shared" si="26"/>
        <v>0.5</v>
      </c>
      <c r="R51" s="8">
        <f t="shared" si="27"/>
        <v>0.5</v>
      </c>
      <c r="S51" s="8">
        <v>10</v>
      </c>
      <c r="T51" s="50">
        <v>20</v>
      </c>
      <c r="U51" s="8">
        <v>40</v>
      </c>
      <c r="V51" s="8">
        <f>SUMIFS(raw_output!$K$2:$K$197,raw_output!$M$2:$M$197,'Overall Output. Labeled'!$N51,raw_output!$A$2:$A$197,'Overall Output. Labeled'!$U51,raw_output!$B$2:$B$197,'Overall Output. Labeled'!$S51,raw_output!$C$2:$C$197,'Overall Output. Labeled'!$T51,raw_output!$D$2:$D$197,'Overall Output. Labeled'!$P51,raw_output!$E$2:$E$197,'Overall Output. Labeled'!$Q51,raw_output!$F$2:$F$197,'Overall Output. Labeled'!$R51)</f>
        <v>408.38261914938897</v>
      </c>
      <c r="W51" s="8">
        <f t="array" ref="W51">SUMIFS(raw_output!$J$2:$J$197,raw_output!$M$2:$M$197,'Overall Output. Labeled'!$N51,raw_output!$A$2:$A$197,'Overall Output. Labeled'!$U51,raw_output!$B$2:$B$197,'Overall Output. Labeled'!$S51,raw_output!$C$2:$C$197,'Overall Output. Labeled'!$T51,raw_output!$D$2:$D$197,'Overall Output. Labeled'!$P51,raw_output!$E$2:$E$197,'Overall Output. Labeled'!$Q51,raw_output!$F$2:$F$197,'Overall Output. Labeled'!$R51)*1000</f>
        <v>1723.1994507107499</v>
      </c>
    </row>
    <row r="52" spans="1:23" x14ac:dyDescent="0.2">
      <c r="A52" s="8" t="s">
        <v>133</v>
      </c>
      <c r="B52" s="8"/>
      <c r="C52" s="8" t="s">
        <v>59</v>
      </c>
      <c r="D52" s="8"/>
      <c r="E52" s="8"/>
      <c r="F52" s="8">
        <v>1</v>
      </c>
      <c r="G52" s="8">
        <v>1</v>
      </c>
      <c r="H52" s="8">
        <v>1</v>
      </c>
      <c r="I52" s="8" t="str">
        <f t="shared" ref="I52" si="28">CONCATENATE(U52,"+")</f>
        <v>40+</v>
      </c>
      <c r="J52" s="8" t="str">
        <f t="shared" ref="J52" si="29">IF(V52&gt;1000,_xlfn.CONCAT(TEXT(V52/1000,"$#.0"),"T"),_xlfn.CONCAT(TEXT(V52,"$#"),"B"))</f>
        <v>$408B</v>
      </c>
      <c r="K52" s="8" t="str">
        <f>_xlfn.CONCAT(TEXT(SUMIFS(raw_output!$N$2:$N$197,raw_output!$M$2:$M$197,'Overall Output. Labeled'!$N52,raw_output!$A$2:$A$197,'Overall Output. Labeled'!$U52,raw_output!$B$2:$B$197,'Overall Output. Labeled'!$S52,raw_output!$C$2:$C$197,'Overall Output. Labeled'!$T52,raw_output!$D$2:$D$197,'Overall Output. Labeled'!$P52,raw_output!$E$2:$E$197,'Overall Output. Labeled'!$Q52,raw_output!$F$2:$F$197,'Overall Output. Labeled'!$R52),"$#.0"),"T")</f>
        <v>$8.3T</v>
      </c>
      <c r="L52" s="8" t="str">
        <f t="shared" ref="L52" si="30">IF(W52&gt;1000,_xlfn.CONCAT(TEXT(W52/1000,"#.#"),"M"),_xlfn.CONCAT(TEXT(W52,"#"),"k"))</f>
        <v>1.7M</v>
      </c>
      <c r="M52" s="8" t="str">
        <f>TEXT(SUMIFS(raw_output!$L$2:$L$197,raw_output!$M$2:$M$197,'Overall Output. Labeled'!$N52,raw_output!$A$2:$A$197,'Overall Output. Labeled'!$U52,raw_output!$B$2:$B$197,'Overall Output. Labeled'!$S52,raw_output!$C$2:$C$197,'Overall Output. Labeled'!$T52,raw_output!$D$2:$D$197,'Overall Output. Labeled'!$P52,raw_output!$E$2:$E$197,'Overall Output. Labeled'!$Q52,raw_output!$F$2:$F$197,'Overall Output. Labeled'!$R52),"$#.##")</f>
        <v>$425.39</v>
      </c>
      <c r="N52" s="8">
        <v>0.04</v>
      </c>
      <c r="O52" s="8">
        <v>0.5</v>
      </c>
      <c r="P52" s="8">
        <f t="shared" ref="P52:P53" si="31">F52*$O52</f>
        <v>0.5</v>
      </c>
      <c r="Q52" s="8">
        <f t="shared" ref="Q52:Q53" si="32">G52*$O52</f>
        <v>0.5</v>
      </c>
      <c r="R52" s="8">
        <f t="shared" ref="R52:R53" si="33">H52*$O52</f>
        <v>0.5</v>
      </c>
      <c r="S52" s="8">
        <v>10</v>
      </c>
      <c r="T52" s="50">
        <v>20</v>
      </c>
      <c r="U52" s="8">
        <v>40</v>
      </c>
      <c r="V52" s="8">
        <f>SUMIFS(raw_output!$K$2:$K$197,raw_output!$M$2:$M$197,'Overall Output. Labeled'!$N52,raw_output!$A$2:$A$197,'Overall Output. Labeled'!$U52,raw_output!$B$2:$B$197,'Overall Output. Labeled'!$S52,raw_output!$C$2:$C$197,'Overall Output. Labeled'!$T52,raw_output!$D$2:$D$197,'Overall Output. Labeled'!$P52,raw_output!$E$2:$E$197,'Overall Output. Labeled'!$Q52,raw_output!$F$2:$F$197,'Overall Output. Labeled'!$R52)</f>
        <v>408.38261914938897</v>
      </c>
      <c r="W52" s="8">
        <f t="array" ref="W52">SUMIFS(raw_output!$J$2:$J$197,raw_output!$M$2:$M$197,'Overall Output. Labeled'!$N52,raw_output!$A$2:$A$197,'Overall Output. Labeled'!$U52,raw_output!$B$2:$B$197,'Overall Output. Labeled'!$S52,raw_output!$C$2:$C$197,'Overall Output. Labeled'!$T52,raw_output!$D$2:$D$197,'Overall Output. Labeled'!$P52,raw_output!$E$2:$E$197,'Overall Output. Labeled'!$Q52,raw_output!$F$2:$F$197,'Overall Output. Labeled'!$R52)*1000</f>
        <v>1723.1994507107499</v>
      </c>
    </row>
    <row r="53" spans="1:23" x14ac:dyDescent="0.2">
      <c r="A53" s="8" t="s">
        <v>133</v>
      </c>
      <c r="B53" s="8"/>
      <c r="C53" s="8" t="s">
        <v>135</v>
      </c>
      <c r="D53" s="8"/>
      <c r="E53" s="8"/>
      <c r="F53" s="8">
        <v>0.2</v>
      </c>
      <c r="G53" s="8">
        <v>0.7</v>
      </c>
      <c r="H53" s="8">
        <v>0</v>
      </c>
      <c r="I53" s="8" t="str">
        <f>CONCATENATE(U53,"+")</f>
        <v>40+</v>
      </c>
      <c r="J53" s="8" t="str">
        <f t="shared" ref="J53:J56" si="34">IF(V53&gt;1000,_xlfn.CONCAT(TEXT(V53/1000,"$#.0"),"T"),_xlfn.CONCAT(TEXT(V53,"$#"),"B"))</f>
        <v>$201B</v>
      </c>
      <c r="K53" s="8" t="str">
        <f>_xlfn.CONCAT(TEXT(SUMIFS(raw_output!$N$2:$N$197,raw_output!$M$2:$M$197,'Overall Output. Labeled'!$N53,raw_output!$A$2:$A$197,'Overall Output. Labeled'!$U53,raw_output!$B$2:$B$197,'Overall Output. Labeled'!$S53,raw_output!$C$2:$C$197,'Overall Output. Labeled'!$T53,raw_output!$D$2:$D$197,'Overall Output. Labeled'!$P53,raw_output!$E$2:$E$197,'Overall Output. Labeled'!$Q53,raw_output!$F$2:$F$197,'Overall Output. Labeled'!$R53),"$#.0"),"T")</f>
        <v>$16.1T</v>
      </c>
      <c r="L53" s="8" t="str">
        <f t="shared" ref="L53:L56" si="35">IF(W53&gt;1000,_xlfn.CONCAT(TEXT(W53/1000,"#.#"),"M"),_xlfn.CONCAT(TEXT(W53,"#"),"k"))</f>
        <v>268k</v>
      </c>
      <c r="M53" s="8" t="str">
        <f>TEXT(SUMIFS(raw_output!$L$2:$L$197,raw_output!$M$2:$M$197,'Overall Output. Labeled'!$N53,raw_output!$A$2:$A$197,'Overall Output. Labeled'!$U53,raw_output!$B$2:$B$197,'Overall Output. Labeled'!$S53,raw_output!$C$2:$C$197,'Overall Output. Labeled'!$T53,raw_output!$D$2:$D$197,'Overall Output. Labeled'!$P53,raw_output!$E$2:$E$197,'Overall Output. Labeled'!$Q53,raw_output!$F$2:$F$197,'Overall Output. Labeled'!$R53),"$#.##")</f>
        <v>$507.82</v>
      </c>
      <c r="N53" s="8">
        <v>0.01</v>
      </c>
      <c r="O53" s="8">
        <v>0.5</v>
      </c>
      <c r="P53" s="8">
        <f t="shared" si="31"/>
        <v>0.1</v>
      </c>
      <c r="Q53" s="8">
        <f t="shared" si="32"/>
        <v>0.35</v>
      </c>
      <c r="R53" s="8">
        <f t="shared" si="33"/>
        <v>0</v>
      </c>
      <c r="S53" s="8">
        <v>10</v>
      </c>
      <c r="T53" s="50">
        <v>20</v>
      </c>
      <c r="U53" s="8">
        <v>40</v>
      </c>
      <c r="V53" s="8">
        <f>SUMIFS(raw_output!$K$2:$K$197,raw_output!$M$2:$M$197,'Overall Output. Labeled'!$N53,raw_output!$A$2:$A$197,'Overall Output. Labeled'!$U53,raw_output!$B$2:$B$197,'Overall Output. Labeled'!$S53,raw_output!$C$2:$C$197,'Overall Output. Labeled'!$T53,raw_output!$D$2:$D$197,'Overall Output. Labeled'!$P53,raw_output!$E$2:$E$197,'Overall Output. Labeled'!$Q53,raw_output!$F$2:$F$197,'Overall Output. Labeled'!$R53)</f>
        <v>201.289900032801</v>
      </c>
      <c r="W53" s="8">
        <f t="array" ref="W53">SUMIFS(raw_output!$J$2:$J$197,raw_output!$M$2:$M$197,'Overall Output. Labeled'!$N53,raw_output!$A$2:$A$197,'Overall Output. Labeled'!$U53,raw_output!$B$2:$B$197,'Overall Output. Labeled'!$S53,raw_output!$C$2:$C$197,'Overall Output. Labeled'!$T53,raw_output!$D$2:$D$197,'Overall Output. Labeled'!$P53,raw_output!$E$2:$E$197,'Overall Output. Labeled'!$Q53,raw_output!$F$2:$F$197,'Overall Output. Labeled'!$R53)*1000</f>
        <v>268.12770050815601</v>
      </c>
    </row>
    <row r="54" spans="1:23" x14ac:dyDescent="0.2">
      <c r="A54" s="8" t="s">
        <v>133</v>
      </c>
      <c r="B54" s="8"/>
      <c r="C54" s="8" t="s">
        <v>136</v>
      </c>
      <c r="D54" s="8"/>
      <c r="E54" s="8"/>
      <c r="F54" s="8">
        <v>0.2</v>
      </c>
      <c r="G54" s="8">
        <v>0.7</v>
      </c>
      <c r="H54" s="8">
        <v>0</v>
      </c>
      <c r="I54" s="8" t="str">
        <f>CONCATENATE(U54,"+")</f>
        <v>40+</v>
      </c>
      <c r="J54" s="8" t="str">
        <f t="shared" si="34"/>
        <v>$201B</v>
      </c>
      <c r="K54" s="8" t="str">
        <f>_xlfn.CONCAT(TEXT(SUMIFS(raw_output!$N$2:$N$197,raw_output!$M$2:$M$197,'Overall Output. Labeled'!$N54,raw_output!$A$2:$A$197,'Overall Output. Labeled'!$U54,raw_output!$B$2:$B$197,'Overall Output. Labeled'!$S54,raw_output!$C$2:$C$197,'Overall Output. Labeled'!$T54,raw_output!$D$2:$D$197,'Overall Output. Labeled'!$P54,raw_output!$E$2:$E$197,'Overall Output. Labeled'!$Q54,raw_output!$F$2:$F$197,'Overall Output. Labeled'!$R54),"$#.0"),"T")</f>
        <v>$8.9T</v>
      </c>
      <c r="L54" s="8" t="str">
        <f t="shared" si="35"/>
        <v>268k</v>
      </c>
      <c r="M54" s="8" t="str">
        <f>TEXT(SUMIFS(raw_output!$L$2:$L$197,raw_output!$M$2:$M$197,'Overall Output. Labeled'!$N54,raw_output!$A$2:$A$197,'Overall Output. Labeled'!$U54,raw_output!$B$2:$B$197,'Overall Output. Labeled'!$S54,raw_output!$C$2:$C$197,'Overall Output. Labeled'!$T54,raw_output!$D$2:$D$197,'Overall Output. Labeled'!$P54,raw_output!$E$2:$E$197,'Overall Output. Labeled'!$Q54,raw_output!$F$2:$F$197,'Overall Output. Labeled'!$R54),"$#.##")</f>
        <v>$507.82</v>
      </c>
      <c r="N54" s="8">
        <v>0.02</v>
      </c>
      <c r="O54" s="8">
        <v>0.5</v>
      </c>
      <c r="P54" s="8">
        <f t="shared" ref="P54:P57" si="36">F54*$O54</f>
        <v>0.1</v>
      </c>
      <c r="Q54" s="8">
        <f t="shared" ref="Q54:Q57" si="37">G54*$O54</f>
        <v>0.35</v>
      </c>
      <c r="R54" s="8">
        <f t="shared" ref="R54:R57" si="38">H54*$O54</f>
        <v>0</v>
      </c>
      <c r="S54" s="8">
        <v>10</v>
      </c>
      <c r="T54" s="50">
        <v>20</v>
      </c>
      <c r="U54" s="8">
        <v>40</v>
      </c>
      <c r="V54" s="8">
        <f>SUMIFS(raw_output!$K$2:$K$197,raw_output!$M$2:$M$197,'Overall Output. Labeled'!$N54,raw_output!$A$2:$A$197,'Overall Output. Labeled'!$U54,raw_output!$B$2:$B$197,'Overall Output. Labeled'!$S54,raw_output!$C$2:$C$197,'Overall Output. Labeled'!$T54,raw_output!$D$2:$D$197,'Overall Output. Labeled'!$P54,raw_output!$E$2:$E$197,'Overall Output. Labeled'!$Q54,raw_output!$F$2:$F$197,'Overall Output. Labeled'!$R54)</f>
        <v>201.289900032801</v>
      </c>
      <c r="W54" s="8">
        <f t="array" ref="W54">SUMIFS(raw_output!$J$2:$J$197,raw_output!$M$2:$M$197,'Overall Output. Labeled'!$N54,raw_output!$A$2:$A$197,'Overall Output. Labeled'!$U54,raw_output!$B$2:$B$197,'Overall Output. Labeled'!$S54,raw_output!$C$2:$C$197,'Overall Output. Labeled'!$T54,raw_output!$D$2:$D$197,'Overall Output. Labeled'!$P54,raw_output!$E$2:$E$197,'Overall Output. Labeled'!$Q54,raw_output!$F$2:$F$197,'Overall Output. Labeled'!$R54)*1000</f>
        <v>268.12770050815601</v>
      </c>
    </row>
    <row r="55" spans="1:23" x14ac:dyDescent="0.2">
      <c r="A55" s="8" t="s">
        <v>133</v>
      </c>
      <c r="B55" s="8"/>
      <c r="C55" s="8" t="s">
        <v>137</v>
      </c>
      <c r="D55" s="8"/>
      <c r="E55" s="8"/>
      <c r="F55" s="8">
        <v>0.2</v>
      </c>
      <c r="G55" s="8">
        <v>0.7</v>
      </c>
      <c r="H55" s="8">
        <v>0</v>
      </c>
      <c r="I55" s="8" t="str">
        <f>CONCATENATE(U55,"+")</f>
        <v>40+</v>
      </c>
      <c r="J55" s="8" t="str">
        <f t="shared" si="34"/>
        <v>$201B</v>
      </c>
      <c r="K55" s="8" t="str">
        <f>_xlfn.CONCAT(TEXT(SUMIFS(raw_output!$N$2:$N$197,raw_output!$M$2:$M$197,'Overall Output. Labeled'!$N55,raw_output!$A$2:$A$197,'Overall Output. Labeled'!$U55,raw_output!$B$2:$B$197,'Overall Output. Labeled'!$S55,raw_output!$C$2:$C$197,'Overall Output. Labeled'!$T55,raw_output!$D$2:$D$197,'Overall Output. Labeled'!$P55,raw_output!$E$2:$E$197,'Overall Output. Labeled'!$Q55,raw_output!$F$2:$F$197,'Overall Output. Labeled'!$R55),"$#.0"),"T")</f>
        <v>$5.2T</v>
      </c>
      <c r="L55" s="8" t="str">
        <f t="shared" si="35"/>
        <v>268k</v>
      </c>
      <c r="M55" s="8" t="str">
        <f>TEXT(SUMIFS(raw_output!$L$2:$L$197,raw_output!$M$2:$M$197,'Overall Output. Labeled'!$N55,raw_output!$A$2:$A$197,'Overall Output. Labeled'!$U55,raw_output!$B$2:$B$197,'Overall Output. Labeled'!$S55,raw_output!$C$2:$C$197,'Overall Output. Labeled'!$T55,raw_output!$D$2:$D$197,'Overall Output. Labeled'!$P55,raw_output!$E$2:$E$197,'Overall Output. Labeled'!$Q55,raw_output!$F$2:$F$197,'Overall Output. Labeled'!$R55),"$#.##")</f>
        <v>$507.82</v>
      </c>
      <c r="N55" s="8">
        <v>0.03</v>
      </c>
      <c r="O55" s="8">
        <v>0.5</v>
      </c>
      <c r="P55" s="8">
        <f t="shared" si="36"/>
        <v>0.1</v>
      </c>
      <c r="Q55" s="8">
        <f t="shared" si="37"/>
        <v>0.35</v>
      </c>
      <c r="R55" s="8">
        <f t="shared" si="38"/>
        <v>0</v>
      </c>
      <c r="S55" s="8">
        <v>10</v>
      </c>
      <c r="T55" s="50">
        <v>20</v>
      </c>
      <c r="U55" s="8">
        <v>40</v>
      </c>
      <c r="V55" s="8">
        <f>SUMIFS(raw_output!$K$2:$K$197,raw_output!$M$2:$M$197,'Overall Output. Labeled'!$N55,raw_output!$A$2:$A$197,'Overall Output. Labeled'!$U55,raw_output!$B$2:$B$197,'Overall Output. Labeled'!$S55,raw_output!$C$2:$C$197,'Overall Output. Labeled'!$T55,raw_output!$D$2:$D$197,'Overall Output. Labeled'!$P55,raw_output!$E$2:$E$197,'Overall Output. Labeled'!$Q55,raw_output!$F$2:$F$197,'Overall Output. Labeled'!$R55)</f>
        <v>201.289900032801</v>
      </c>
      <c r="W55" s="8">
        <f t="array" ref="W55">SUMIFS(raw_output!$J$2:$J$197,raw_output!$M$2:$M$197,'Overall Output. Labeled'!$N55,raw_output!$A$2:$A$197,'Overall Output. Labeled'!$U55,raw_output!$B$2:$B$197,'Overall Output. Labeled'!$S55,raw_output!$C$2:$C$197,'Overall Output. Labeled'!$T55,raw_output!$D$2:$D$197,'Overall Output. Labeled'!$P55,raw_output!$E$2:$E$197,'Overall Output. Labeled'!$Q55,raw_output!$F$2:$F$197,'Overall Output. Labeled'!$R55)*1000</f>
        <v>268.12770050815601</v>
      </c>
    </row>
    <row r="56" spans="1:23" x14ac:dyDescent="0.2">
      <c r="A56" s="8" t="s">
        <v>133</v>
      </c>
      <c r="B56" s="8"/>
      <c r="C56" s="8" t="s">
        <v>138</v>
      </c>
      <c r="D56" s="8"/>
      <c r="E56" s="8"/>
      <c r="F56" s="8">
        <v>0.2</v>
      </c>
      <c r="G56" s="8">
        <v>0.7</v>
      </c>
      <c r="H56" s="8">
        <v>0</v>
      </c>
      <c r="I56" s="8" t="str">
        <f>CONCATENATE(U56,"+")</f>
        <v>40+</v>
      </c>
      <c r="J56" s="8" t="str">
        <f t="shared" si="34"/>
        <v>$201B</v>
      </c>
      <c r="K56" s="8" t="str">
        <f>_xlfn.CONCAT(TEXT(SUMIFS(raw_output!$N$2:$N$197,raw_output!$M$2:$M$197,'Overall Output. Labeled'!$N56,raw_output!$A$2:$A$197,'Overall Output. Labeled'!$U56,raw_output!$B$2:$B$197,'Overall Output. Labeled'!$S56,raw_output!$C$2:$C$197,'Overall Output. Labeled'!$T56,raw_output!$D$2:$D$197,'Overall Output. Labeled'!$P56,raw_output!$E$2:$E$197,'Overall Output. Labeled'!$Q56,raw_output!$F$2:$F$197,'Overall Output. Labeled'!$R56),"$#.0"),"T")</f>
        <v>$3.2T</v>
      </c>
      <c r="L56" s="8" t="str">
        <f t="shared" si="35"/>
        <v>268k</v>
      </c>
      <c r="M56" s="8" t="str">
        <f>TEXT(SUMIFS(raw_output!$L$2:$L$197,raw_output!$M$2:$M$197,'Overall Output. Labeled'!$N56,raw_output!$A$2:$A$197,'Overall Output. Labeled'!$U56,raw_output!$B$2:$B$197,'Overall Output. Labeled'!$S56,raw_output!$C$2:$C$197,'Overall Output. Labeled'!$T56,raw_output!$D$2:$D$197,'Overall Output. Labeled'!$P56,raw_output!$E$2:$E$197,'Overall Output. Labeled'!$Q56,raw_output!$F$2:$F$197,'Overall Output. Labeled'!$R56),"$#.##")</f>
        <v>$507.82</v>
      </c>
      <c r="N56" s="8">
        <v>0.04</v>
      </c>
      <c r="O56" s="8">
        <v>0.5</v>
      </c>
      <c r="P56" s="8">
        <f t="shared" si="36"/>
        <v>0.1</v>
      </c>
      <c r="Q56" s="8">
        <f t="shared" si="37"/>
        <v>0.35</v>
      </c>
      <c r="R56" s="8">
        <f t="shared" si="38"/>
        <v>0</v>
      </c>
      <c r="S56" s="8">
        <v>10</v>
      </c>
      <c r="T56" s="50">
        <v>20</v>
      </c>
      <c r="U56" s="8">
        <v>40</v>
      </c>
      <c r="V56" s="8">
        <f>SUMIFS(raw_output!$K$2:$K$197,raw_output!$M$2:$M$197,'Overall Output. Labeled'!$N56,raw_output!$A$2:$A$197,'Overall Output. Labeled'!$U56,raw_output!$B$2:$B$197,'Overall Output. Labeled'!$S56,raw_output!$C$2:$C$197,'Overall Output. Labeled'!$T56,raw_output!$D$2:$D$197,'Overall Output. Labeled'!$P56,raw_output!$E$2:$E$197,'Overall Output. Labeled'!$Q56,raw_output!$F$2:$F$197,'Overall Output. Labeled'!$R56)</f>
        <v>201.289900032801</v>
      </c>
      <c r="W56" s="8">
        <f t="array" ref="W56">SUMIFS(raw_output!$J$2:$J$197,raw_output!$M$2:$M$197,'Overall Output. Labeled'!$N56,raw_output!$A$2:$A$197,'Overall Output. Labeled'!$U56,raw_output!$B$2:$B$197,'Overall Output. Labeled'!$S56,raw_output!$C$2:$C$197,'Overall Output. Labeled'!$T56,raw_output!$D$2:$D$197,'Overall Output. Labeled'!$P56,raw_output!$E$2:$E$197,'Overall Output. Labeled'!$Q56,raw_output!$F$2:$F$197,'Overall Output. Labeled'!$R56)*1000</f>
        <v>268.12770050815601</v>
      </c>
    </row>
    <row r="57" spans="1:23" x14ac:dyDescent="0.2">
      <c r="A57" s="8" t="s">
        <v>133</v>
      </c>
      <c r="B57" s="8"/>
      <c r="C57" s="8" t="s">
        <v>139</v>
      </c>
      <c r="D57" s="8"/>
      <c r="E57" s="8"/>
      <c r="F57" s="8">
        <v>0.02</v>
      </c>
      <c r="G57" s="8">
        <v>0.04</v>
      </c>
      <c r="H57" s="8">
        <v>1</v>
      </c>
      <c r="I57" s="8" t="str">
        <f t="shared" ref="I57" si="39">CONCATENATE(U57,"+")</f>
        <v>40+</v>
      </c>
      <c r="J57" s="8" t="str">
        <f>IF(V57&gt;1000,_xlfn.CONCAT(TEXT(V57/1000,"$#.0"),"T"),_xlfn.CONCAT(TEXT(V57,"$#"),"B"))</f>
        <v>-$7B</v>
      </c>
      <c r="K57" s="8" t="str">
        <f>_xlfn.CONCAT(TEXT(SUMIFS(raw_output!$N$2:$N$197,raw_output!$M$2:$M$197,'Overall Output. Labeled'!$N57,raw_output!$A$2:$A$197,'Overall Output. Labeled'!$U57,raw_output!$B$2:$B$197,'Overall Output. Labeled'!$S57,raw_output!$C$2:$C$197,'Overall Output. Labeled'!$T57,raw_output!$D$2:$D$197,'Overall Output. Labeled'!$P57,raw_output!$E$2:$E$197,'Overall Output. Labeled'!$Q57,raw_output!$F$2:$F$197,'Overall Output. Labeled'!$R57),"$#.0"),"T")</f>
        <v>$19.5T</v>
      </c>
      <c r="L57" s="8" t="str">
        <f t="shared" ref="L57" si="40">IF(W57&gt;1000,_xlfn.CONCAT(TEXT(W57/1000,"#.#"),"M"),_xlfn.CONCAT(TEXT(W57,"#"),"k"))</f>
        <v>391k</v>
      </c>
      <c r="M57" s="8" t="str">
        <f>TEXT(SUMIFS(raw_output!$L$2:$L$197,raw_output!$M$2:$M$197,'Overall Output. Labeled'!$N57,raw_output!$A$2:$A$197,'Overall Output. Labeled'!$U57,raw_output!$B$2:$B$197,'Overall Output. Labeled'!$S57,raw_output!$C$2:$C$197,'Overall Output. Labeled'!$T57,raw_output!$D$2:$D$197,'Overall Output. Labeled'!$P57,raw_output!$E$2:$E$197,'Overall Output. Labeled'!$Q57,raw_output!$F$2:$F$197,'Overall Output. Labeled'!$R57),"$#.##")</f>
        <v>-$60.7</v>
      </c>
      <c r="N57" s="8">
        <v>0.01</v>
      </c>
      <c r="O57" s="8">
        <v>0.5</v>
      </c>
      <c r="P57" s="8">
        <f t="shared" si="36"/>
        <v>0.01</v>
      </c>
      <c r="Q57" s="8">
        <f t="shared" si="37"/>
        <v>0.02</v>
      </c>
      <c r="R57" s="8">
        <f t="shared" si="38"/>
        <v>0.5</v>
      </c>
      <c r="S57" s="8">
        <v>10</v>
      </c>
      <c r="T57" s="50">
        <v>20</v>
      </c>
      <c r="U57" s="8">
        <v>40</v>
      </c>
      <c r="V57" s="8">
        <f>SUMIFS(raw_output!$K$2:$K$197,raw_output!$M$2:$M$197,'Overall Output. Labeled'!$N57,raw_output!$A$2:$A$197,'Overall Output. Labeled'!$U57,raw_output!$B$2:$B$197,'Overall Output. Labeled'!$S57,raw_output!$C$2:$C$197,'Overall Output. Labeled'!$T57,raw_output!$D$2:$D$197,'Overall Output. Labeled'!$P57,raw_output!$E$2:$E$197,'Overall Output. Labeled'!$Q57,raw_output!$F$2:$F$197,'Overall Output. Labeled'!$R57)</f>
        <v>-6.9483302426494404</v>
      </c>
      <c r="W57" s="8">
        <f t="array" ref="W57">SUMIFS(raw_output!$J$2:$J$197,raw_output!$M$2:$M$197,'Overall Output. Labeled'!$N57,raw_output!$A$2:$A$197,'Overall Output. Labeled'!$U57,raw_output!$B$2:$B$197,'Overall Output. Labeled'!$S57,raw_output!$C$2:$C$197,'Overall Output. Labeled'!$T57,raw_output!$D$2:$D$197,'Overall Output. Labeled'!$P57,raw_output!$E$2:$E$197,'Overall Output. Labeled'!$Q57,raw_output!$F$2:$F$197,'Overall Output. Labeled'!$R57)*1000</f>
        <v>391.367610078864</v>
      </c>
    </row>
    <row r="58" spans="1:23" x14ac:dyDescent="0.2">
      <c r="A58" s="8" t="s">
        <v>133</v>
      </c>
      <c r="B58" s="8"/>
      <c r="C58" s="8" t="s">
        <v>140</v>
      </c>
      <c r="D58" s="8"/>
      <c r="E58" s="8"/>
      <c r="F58" s="8">
        <v>0.02</v>
      </c>
      <c r="G58" s="8">
        <v>0.04</v>
      </c>
      <c r="H58" s="8">
        <v>1</v>
      </c>
      <c r="I58" s="8" t="str">
        <f t="shared" ref="I58:I68" si="41">CONCATENATE(U58,"+")</f>
        <v>40+</v>
      </c>
      <c r="J58" s="8" t="str">
        <f>IF(V58&gt;1000,_xlfn.CONCAT(TEXT(V58/1000,"$#.0"),"T"),_xlfn.CONCAT(TEXT(V58,"$#"),"B"))</f>
        <v>-$7B</v>
      </c>
      <c r="K58" s="8" t="str">
        <f>_xlfn.CONCAT(TEXT(SUMIFS(raw_output!$N$2:$N$197,raw_output!$M$2:$M$197,'Overall Output. Labeled'!$N58,raw_output!$A$2:$A$197,'Overall Output. Labeled'!$U58,raw_output!$B$2:$B$197,'Overall Output. Labeled'!$S58,raw_output!$C$2:$C$197,'Overall Output. Labeled'!$T58,raw_output!$D$2:$D$197,'Overall Output. Labeled'!$P58,raw_output!$E$2:$E$197,'Overall Output. Labeled'!$Q58,raw_output!$F$2:$F$197,'Overall Output. Labeled'!$R58),"$#.0"),"T")</f>
        <v>$8.6T</v>
      </c>
      <c r="L58" s="8" t="str">
        <f t="shared" ref="L58:L68" si="42">IF(W58&gt;1000,_xlfn.CONCAT(TEXT(W58/1000,"#.#"),"M"),_xlfn.CONCAT(TEXT(W58,"#"),"k"))</f>
        <v>391k</v>
      </c>
      <c r="M58" s="8" t="str">
        <f>TEXT(SUMIFS(raw_output!$L$2:$L$197,raw_output!$M$2:$M$197,'Overall Output. Labeled'!$N58,raw_output!$A$2:$A$197,'Overall Output. Labeled'!$U58,raw_output!$B$2:$B$197,'Overall Output. Labeled'!$S58,raw_output!$C$2:$C$197,'Overall Output. Labeled'!$T58,raw_output!$D$2:$D$197,'Overall Output. Labeled'!$P58,raw_output!$E$2:$E$197,'Overall Output. Labeled'!$Q58,raw_output!$F$2:$F$197,'Overall Output. Labeled'!$R58),"$#.##")</f>
        <v>-$60.7</v>
      </c>
      <c r="N58" s="8">
        <v>0.02</v>
      </c>
      <c r="O58" s="8">
        <v>0.5</v>
      </c>
      <c r="P58" s="8">
        <f t="shared" ref="P58:P64" si="43">F58*$O58</f>
        <v>0.01</v>
      </c>
      <c r="Q58" s="8">
        <f t="shared" ref="Q58:Q64" si="44">G58*$O58</f>
        <v>0.02</v>
      </c>
      <c r="R58" s="8">
        <f t="shared" ref="R58:R64" si="45">H58*$O58</f>
        <v>0.5</v>
      </c>
      <c r="S58" s="8">
        <v>10</v>
      </c>
      <c r="T58" s="50">
        <v>20</v>
      </c>
      <c r="U58" s="8">
        <v>40</v>
      </c>
      <c r="V58" s="8">
        <f>SUMIFS(raw_output!$K$2:$K$197,raw_output!$M$2:$M$197,'Overall Output. Labeled'!$N58,raw_output!$A$2:$A$197,'Overall Output. Labeled'!$U58,raw_output!$B$2:$B$197,'Overall Output. Labeled'!$S58,raw_output!$C$2:$C$197,'Overall Output. Labeled'!$T58,raw_output!$D$2:$D$197,'Overall Output. Labeled'!$P58,raw_output!$E$2:$E$197,'Overall Output. Labeled'!$Q58,raw_output!$F$2:$F$197,'Overall Output. Labeled'!$R58)</f>
        <v>-6.9483302426494404</v>
      </c>
      <c r="W58" s="8">
        <f t="array" ref="W58">SUMIFS(raw_output!$J$2:$J$197,raw_output!$M$2:$M$197,'Overall Output. Labeled'!$N58,raw_output!$A$2:$A$197,'Overall Output. Labeled'!$U58,raw_output!$B$2:$B$197,'Overall Output. Labeled'!$S58,raw_output!$C$2:$C$197,'Overall Output. Labeled'!$T58,raw_output!$D$2:$D$197,'Overall Output. Labeled'!$P58,raw_output!$E$2:$E$197,'Overall Output. Labeled'!$Q58,raw_output!$F$2:$F$197,'Overall Output. Labeled'!$R58)*1000</f>
        <v>391.367610078864</v>
      </c>
    </row>
    <row r="59" spans="1:23" x14ac:dyDescent="0.2">
      <c r="A59" s="8" t="s">
        <v>133</v>
      </c>
      <c r="B59" s="8"/>
      <c r="C59" s="8" t="s">
        <v>141</v>
      </c>
      <c r="D59" s="8"/>
      <c r="E59" s="8"/>
      <c r="F59" s="8">
        <v>0.02</v>
      </c>
      <c r="G59" s="8">
        <v>0.04</v>
      </c>
      <c r="H59" s="8">
        <v>1</v>
      </c>
      <c r="I59" s="8" t="str">
        <f t="shared" si="41"/>
        <v>40+</v>
      </c>
      <c r="J59" s="8" t="str">
        <f>IF(V59&gt;1000,_xlfn.CONCAT(TEXT(V59/1000,"$#.0"),"T"),_xlfn.CONCAT(TEXT(V59,"$#"),"B"))</f>
        <v>-$7B</v>
      </c>
      <c r="K59" s="8" t="str">
        <f>_xlfn.CONCAT(TEXT(SUMIFS(raw_output!$N$2:$N$197,raw_output!$M$2:$M$197,'Overall Output. Labeled'!$N59,raw_output!$A$2:$A$197,'Overall Output. Labeled'!$U59,raw_output!$B$2:$B$197,'Overall Output. Labeled'!$S59,raw_output!$C$2:$C$197,'Overall Output. Labeled'!$T59,raw_output!$D$2:$D$197,'Overall Output. Labeled'!$P59,raw_output!$E$2:$E$197,'Overall Output. Labeled'!$Q59,raw_output!$F$2:$F$197,'Overall Output. Labeled'!$R59),"$#.0"),"T")</f>
        <v>$3.9T</v>
      </c>
      <c r="L59" s="8" t="str">
        <f t="shared" si="42"/>
        <v>391k</v>
      </c>
      <c r="M59" s="8" t="str">
        <f>TEXT(SUMIFS(raw_output!$L$2:$L$197,raw_output!$M$2:$M$197,'Overall Output. Labeled'!$N59,raw_output!$A$2:$A$197,'Overall Output. Labeled'!$U59,raw_output!$B$2:$B$197,'Overall Output. Labeled'!$S59,raw_output!$C$2:$C$197,'Overall Output. Labeled'!$T59,raw_output!$D$2:$D$197,'Overall Output. Labeled'!$P59,raw_output!$E$2:$E$197,'Overall Output. Labeled'!$Q59,raw_output!$F$2:$F$197,'Overall Output. Labeled'!$R59),"$#.##")</f>
        <v>-$60.7</v>
      </c>
      <c r="N59" s="8">
        <v>0.03</v>
      </c>
      <c r="O59" s="8">
        <v>0.5</v>
      </c>
      <c r="P59" s="8">
        <f t="shared" si="43"/>
        <v>0.01</v>
      </c>
      <c r="Q59" s="8">
        <f t="shared" si="44"/>
        <v>0.02</v>
      </c>
      <c r="R59" s="8">
        <f t="shared" si="45"/>
        <v>0.5</v>
      </c>
      <c r="S59" s="8">
        <v>10</v>
      </c>
      <c r="T59" s="50">
        <v>20</v>
      </c>
      <c r="U59" s="8">
        <v>40</v>
      </c>
      <c r="V59" s="8">
        <f>SUMIFS(raw_output!$K$2:$K$197,raw_output!$M$2:$M$197,'Overall Output. Labeled'!$N59,raw_output!$A$2:$A$197,'Overall Output. Labeled'!$U59,raw_output!$B$2:$B$197,'Overall Output. Labeled'!$S59,raw_output!$C$2:$C$197,'Overall Output. Labeled'!$T59,raw_output!$D$2:$D$197,'Overall Output. Labeled'!$P59,raw_output!$E$2:$E$197,'Overall Output. Labeled'!$Q59,raw_output!$F$2:$F$197,'Overall Output. Labeled'!$R59)</f>
        <v>-6.9483302426494404</v>
      </c>
      <c r="W59" s="8">
        <f t="array" ref="W59">SUMIFS(raw_output!$J$2:$J$197,raw_output!$M$2:$M$197,'Overall Output. Labeled'!$N59,raw_output!$A$2:$A$197,'Overall Output. Labeled'!$U59,raw_output!$B$2:$B$197,'Overall Output. Labeled'!$S59,raw_output!$C$2:$C$197,'Overall Output. Labeled'!$T59,raw_output!$D$2:$D$197,'Overall Output. Labeled'!$P59,raw_output!$E$2:$E$197,'Overall Output. Labeled'!$Q59,raw_output!$F$2:$F$197,'Overall Output. Labeled'!$R59)*1000</f>
        <v>391.367610078864</v>
      </c>
    </row>
    <row r="60" spans="1:23" x14ac:dyDescent="0.2">
      <c r="A60" s="8" t="s">
        <v>133</v>
      </c>
      <c r="B60" s="8"/>
      <c r="C60" s="8" t="s">
        <v>142</v>
      </c>
      <c r="D60" s="8"/>
      <c r="E60" s="8"/>
      <c r="F60" s="8">
        <v>0.02</v>
      </c>
      <c r="G60" s="8">
        <v>0.04</v>
      </c>
      <c r="H60" s="8">
        <v>1</v>
      </c>
      <c r="I60" s="8" t="str">
        <f t="shared" si="41"/>
        <v>40+</v>
      </c>
      <c r="J60" s="8" t="str">
        <f>IF(V60&gt;1000,_xlfn.CONCAT(TEXT(V60/1000,"$#.0"),"T"),_xlfn.CONCAT(TEXT(V60,"$#"),"B"))</f>
        <v>-$7B</v>
      </c>
      <c r="K60" s="8" t="str">
        <f>_xlfn.CONCAT(TEXT(SUMIFS(raw_output!$N$2:$N$197,raw_output!$M$2:$M$197,'Overall Output. Labeled'!$N60,raw_output!$A$2:$A$197,'Overall Output. Labeled'!$U60,raw_output!$B$2:$B$197,'Overall Output. Labeled'!$S60,raw_output!$C$2:$C$197,'Overall Output. Labeled'!$T60,raw_output!$D$2:$D$197,'Overall Output. Labeled'!$P60,raw_output!$E$2:$E$197,'Overall Output. Labeled'!$Q60,raw_output!$F$2:$F$197,'Overall Output. Labeled'!$R60),"$#.0"),"T")</f>
        <v>$1.8T</v>
      </c>
      <c r="L60" s="8" t="str">
        <f t="shared" si="42"/>
        <v>391k</v>
      </c>
      <c r="M60" s="8" t="str">
        <f>TEXT(SUMIFS(raw_output!$L$2:$L$197,raw_output!$M$2:$M$197,'Overall Output. Labeled'!$N60,raw_output!$A$2:$A$197,'Overall Output. Labeled'!$U60,raw_output!$B$2:$B$197,'Overall Output. Labeled'!$S60,raw_output!$C$2:$C$197,'Overall Output. Labeled'!$T60,raw_output!$D$2:$D$197,'Overall Output. Labeled'!$P60,raw_output!$E$2:$E$197,'Overall Output. Labeled'!$Q60,raw_output!$F$2:$F$197,'Overall Output. Labeled'!$R60),"$#.##")</f>
        <v>-$60.7</v>
      </c>
      <c r="N60" s="8">
        <v>0.04</v>
      </c>
      <c r="O60" s="8">
        <v>0.5</v>
      </c>
      <c r="P60" s="8">
        <f t="shared" si="43"/>
        <v>0.01</v>
      </c>
      <c r="Q60" s="8">
        <f t="shared" si="44"/>
        <v>0.02</v>
      </c>
      <c r="R60" s="8">
        <f t="shared" si="45"/>
        <v>0.5</v>
      </c>
      <c r="S60" s="8">
        <v>10</v>
      </c>
      <c r="T60" s="50">
        <v>20</v>
      </c>
      <c r="U60" s="8">
        <v>40</v>
      </c>
      <c r="V60" s="8">
        <f>SUMIFS(raw_output!$K$2:$K$197,raw_output!$M$2:$M$197,'Overall Output. Labeled'!$N60,raw_output!$A$2:$A$197,'Overall Output. Labeled'!$U60,raw_output!$B$2:$B$197,'Overall Output. Labeled'!$S60,raw_output!$C$2:$C$197,'Overall Output. Labeled'!$T60,raw_output!$D$2:$D$197,'Overall Output. Labeled'!$P60,raw_output!$E$2:$E$197,'Overall Output. Labeled'!$Q60,raw_output!$F$2:$F$197,'Overall Output. Labeled'!$R60)</f>
        <v>-6.9483302426494404</v>
      </c>
      <c r="W60" s="8">
        <f t="array" ref="W60">SUMIFS(raw_output!$J$2:$J$197,raw_output!$M$2:$M$197,'Overall Output. Labeled'!$N60,raw_output!$A$2:$A$197,'Overall Output. Labeled'!$U60,raw_output!$B$2:$B$197,'Overall Output. Labeled'!$S60,raw_output!$C$2:$C$197,'Overall Output. Labeled'!$T60,raw_output!$D$2:$D$197,'Overall Output. Labeled'!$P60,raw_output!$E$2:$E$197,'Overall Output. Labeled'!$Q60,raw_output!$F$2:$F$197,'Overall Output. Labeled'!$R60)*1000</f>
        <v>391.367610078864</v>
      </c>
    </row>
    <row r="61" spans="1:23" x14ac:dyDescent="0.2">
      <c r="A61" s="8" t="s">
        <v>133</v>
      </c>
      <c r="B61" s="8"/>
      <c r="C61" s="8" t="s">
        <v>143</v>
      </c>
      <c r="D61" s="8"/>
      <c r="E61" s="8"/>
      <c r="F61" s="8">
        <v>1</v>
      </c>
      <c r="G61" s="8">
        <v>1</v>
      </c>
      <c r="H61" s="8">
        <v>1</v>
      </c>
      <c r="I61" s="8" t="str">
        <f t="shared" si="41"/>
        <v>65+</v>
      </c>
      <c r="J61" s="8" t="str">
        <f t="shared" ref="J61:J68" si="46">IF(V61&gt;1000,_xlfn.CONCAT(TEXT(V61/1000,"$#.0"),"T"),_xlfn.CONCAT(TEXT(V61,"$#"),"B"))</f>
        <v>$326B</v>
      </c>
      <c r="K61" s="8" t="str">
        <f>_xlfn.CONCAT(TEXT(SUMIFS(raw_output!$N$2:$N$197,raw_output!$M$2:$M$197,'Overall Output. Labeled'!$N61,raw_output!$A$2:$A$197,'Overall Output. Labeled'!$U61,raw_output!$B$2:$B$197,'Overall Output. Labeled'!$S61,raw_output!$C$2:$C$197,'Overall Output. Labeled'!$T61,raw_output!$D$2:$D$197,'Overall Output. Labeled'!$P61,raw_output!$E$2:$E$197,'Overall Output. Labeled'!$Q61,raw_output!$F$2:$F$197,'Overall Output. Labeled'!$R61),"$#.0"),"T")</f>
        <v>$26.0T</v>
      </c>
      <c r="L61" s="8" t="str">
        <f t="shared" si="42"/>
        <v>1.2M</v>
      </c>
      <c r="M61" s="8" t="str">
        <f>TEXT(SUMIFS(raw_output!$L$2:$L$197,raw_output!$M$2:$M$197,'Overall Output. Labeled'!$N61,raw_output!$A$2:$A$197,'Overall Output. Labeled'!$U61,raw_output!$B$2:$B$197,'Overall Output. Labeled'!$S61,raw_output!$C$2:$C$197,'Overall Output. Labeled'!$T61,raw_output!$D$2:$D$197,'Overall Output. Labeled'!$P61,raw_output!$E$2:$E$197,'Overall Output. Labeled'!$Q61,raw_output!$F$2:$F$197,'Overall Output. Labeled'!$R61),"$#.##")</f>
        <v>$327.93</v>
      </c>
      <c r="N61" s="8">
        <v>0.01</v>
      </c>
      <c r="O61" s="8">
        <v>0.5</v>
      </c>
      <c r="P61" s="8">
        <f t="shared" si="43"/>
        <v>0.5</v>
      </c>
      <c r="Q61" s="8">
        <f t="shared" si="44"/>
        <v>0.5</v>
      </c>
      <c r="R61" s="8">
        <f t="shared" si="45"/>
        <v>0.5</v>
      </c>
      <c r="S61" s="8">
        <v>10</v>
      </c>
      <c r="T61" s="50">
        <v>20</v>
      </c>
      <c r="U61" s="8">
        <v>65</v>
      </c>
      <c r="V61" s="8">
        <f>SUMIFS(raw_output!$K$2:$K$197,raw_output!$M$2:$M$197,'Overall Output. Labeled'!$N61,raw_output!$A$2:$A$197,'Overall Output. Labeled'!$U61,raw_output!$B$2:$B$197,'Overall Output. Labeled'!$S61,raw_output!$C$2:$C$197,'Overall Output. Labeled'!$T61,raw_output!$D$2:$D$197,'Overall Output. Labeled'!$P61,raw_output!$E$2:$E$197,'Overall Output. Labeled'!$Q61,raw_output!$F$2:$F$197,'Overall Output. Labeled'!$R61)</f>
        <v>326.36233150701401</v>
      </c>
      <c r="W61" s="8">
        <f t="array" ref="W61">SUMIFS(raw_output!$J$2:$J$197,raw_output!$M$2:$M$197,'Overall Output. Labeled'!$N61,raw_output!$A$2:$A$197,'Overall Output. Labeled'!$U61,raw_output!$B$2:$B$197,'Overall Output. Labeled'!$S61,raw_output!$C$2:$C$197,'Overall Output. Labeled'!$T61,raw_output!$D$2:$D$197,'Overall Output. Labeled'!$P61,raw_output!$E$2:$E$197,'Overall Output. Labeled'!$Q61,raw_output!$F$2:$F$197,'Overall Output. Labeled'!$R61)*1000</f>
        <v>1178.3826528464701</v>
      </c>
    </row>
    <row r="62" spans="1:23" x14ac:dyDescent="0.2">
      <c r="A62" s="8" t="s">
        <v>133</v>
      </c>
      <c r="B62" s="8"/>
      <c r="C62" s="8" t="s">
        <v>144</v>
      </c>
      <c r="D62" s="8"/>
      <c r="E62" s="8"/>
      <c r="F62" s="8">
        <v>1</v>
      </c>
      <c r="G62" s="8">
        <v>1</v>
      </c>
      <c r="H62" s="8">
        <v>1</v>
      </c>
      <c r="I62" s="8" t="str">
        <f t="shared" si="41"/>
        <v>65+</v>
      </c>
      <c r="J62" s="8" t="str">
        <f t="shared" si="46"/>
        <v>$326B</v>
      </c>
      <c r="K62" s="8" t="str">
        <f>_xlfn.CONCAT(TEXT(SUMIFS(raw_output!$N$2:$N$197,raw_output!$M$2:$M$197,'Overall Output. Labeled'!$N62,raw_output!$A$2:$A$197,'Overall Output. Labeled'!$U62,raw_output!$B$2:$B$197,'Overall Output. Labeled'!$S62,raw_output!$C$2:$C$197,'Overall Output. Labeled'!$T62,raw_output!$D$2:$D$197,'Overall Output. Labeled'!$P62,raw_output!$E$2:$E$197,'Overall Output. Labeled'!$Q62,raw_output!$F$2:$F$197,'Overall Output. Labeled'!$R62),"$#.0"),"T")</f>
        <v>$14.3T</v>
      </c>
      <c r="L62" s="8" t="str">
        <f t="shared" si="42"/>
        <v>1.2M</v>
      </c>
      <c r="M62" s="8" t="str">
        <f>TEXT(SUMIFS(raw_output!$L$2:$L$197,raw_output!$M$2:$M$197,'Overall Output. Labeled'!$N62,raw_output!$A$2:$A$197,'Overall Output. Labeled'!$U62,raw_output!$B$2:$B$197,'Overall Output. Labeled'!$S62,raw_output!$C$2:$C$197,'Overall Output. Labeled'!$T62,raw_output!$D$2:$D$197,'Overall Output. Labeled'!$P62,raw_output!$E$2:$E$197,'Overall Output. Labeled'!$Q62,raw_output!$F$2:$F$197,'Overall Output. Labeled'!$R62),"$#.##")</f>
        <v>$327.93</v>
      </c>
      <c r="N62" s="8">
        <v>0.02</v>
      </c>
      <c r="O62" s="8">
        <v>0.5</v>
      </c>
      <c r="P62" s="8">
        <f t="shared" si="43"/>
        <v>0.5</v>
      </c>
      <c r="Q62" s="8">
        <f t="shared" si="44"/>
        <v>0.5</v>
      </c>
      <c r="R62" s="8">
        <f t="shared" si="45"/>
        <v>0.5</v>
      </c>
      <c r="S62" s="8">
        <v>10</v>
      </c>
      <c r="T62" s="50">
        <v>20</v>
      </c>
      <c r="U62" s="8">
        <v>65</v>
      </c>
      <c r="V62" s="8">
        <f>SUMIFS(raw_output!$K$2:$K$197,raw_output!$M$2:$M$197,'Overall Output. Labeled'!$N62,raw_output!$A$2:$A$197,'Overall Output. Labeled'!$U62,raw_output!$B$2:$B$197,'Overall Output. Labeled'!$S62,raw_output!$C$2:$C$197,'Overall Output. Labeled'!$T62,raw_output!$D$2:$D$197,'Overall Output. Labeled'!$P62,raw_output!$E$2:$E$197,'Overall Output. Labeled'!$Q62,raw_output!$F$2:$F$197,'Overall Output. Labeled'!$R62)</f>
        <v>326.36233150701401</v>
      </c>
      <c r="W62" s="8">
        <f t="array" ref="W62">SUMIFS(raw_output!$J$2:$J$197,raw_output!$M$2:$M$197,'Overall Output. Labeled'!$N62,raw_output!$A$2:$A$197,'Overall Output. Labeled'!$U62,raw_output!$B$2:$B$197,'Overall Output. Labeled'!$S62,raw_output!$C$2:$C$197,'Overall Output. Labeled'!$T62,raw_output!$D$2:$D$197,'Overall Output. Labeled'!$P62,raw_output!$E$2:$E$197,'Overall Output. Labeled'!$Q62,raw_output!$F$2:$F$197,'Overall Output. Labeled'!$R62)*1000</f>
        <v>1178.3826528464701</v>
      </c>
    </row>
    <row r="63" spans="1:23" x14ac:dyDescent="0.2">
      <c r="A63" s="8" t="s">
        <v>133</v>
      </c>
      <c r="B63" s="8"/>
      <c r="C63" s="8" t="s">
        <v>145</v>
      </c>
      <c r="D63" s="8"/>
      <c r="E63" s="8"/>
      <c r="F63" s="8">
        <v>1</v>
      </c>
      <c r="G63" s="8">
        <v>1</v>
      </c>
      <c r="H63" s="8">
        <v>1</v>
      </c>
      <c r="I63" s="8" t="str">
        <f t="shared" si="41"/>
        <v>65+</v>
      </c>
      <c r="J63" s="8" t="str">
        <f t="shared" si="46"/>
        <v>$326B</v>
      </c>
      <c r="K63" s="8" t="str">
        <f>_xlfn.CONCAT(TEXT(SUMIFS(raw_output!$N$2:$N$197,raw_output!$M$2:$M$197,'Overall Output. Labeled'!$N63,raw_output!$A$2:$A$197,'Overall Output. Labeled'!$U63,raw_output!$B$2:$B$197,'Overall Output. Labeled'!$S63,raw_output!$C$2:$C$197,'Overall Output. Labeled'!$T63,raw_output!$D$2:$D$197,'Overall Output. Labeled'!$P63,raw_output!$E$2:$E$197,'Overall Output. Labeled'!$Q63,raw_output!$F$2:$F$197,'Overall Output. Labeled'!$R63),"$#.0"),"T")</f>
        <v>$8.4T</v>
      </c>
      <c r="L63" s="8" t="str">
        <f t="shared" si="42"/>
        <v>1.2M</v>
      </c>
      <c r="M63" s="8" t="str">
        <f>TEXT(SUMIFS(raw_output!$L$2:$L$197,raw_output!$M$2:$M$197,'Overall Output. Labeled'!$N63,raw_output!$A$2:$A$197,'Overall Output. Labeled'!$U63,raw_output!$B$2:$B$197,'Overall Output. Labeled'!$S63,raw_output!$C$2:$C$197,'Overall Output. Labeled'!$T63,raw_output!$D$2:$D$197,'Overall Output. Labeled'!$P63,raw_output!$E$2:$E$197,'Overall Output. Labeled'!$Q63,raw_output!$F$2:$F$197,'Overall Output. Labeled'!$R63),"$#.##")</f>
        <v>$327.93</v>
      </c>
      <c r="N63" s="8">
        <v>0.03</v>
      </c>
      <c r="O63" s="8">
        <v>0.5</v>
      </c>
      <c r="P63" s="8">
        <f t="shared" si="43"/>
        <v>0.5</v>
      </c>
      <c r="Q63" s="8">
        <f t="shared" si="44"/>
        <v>0.5</v>
      </c>
      <c r="R63" s="8">
        <f t="shared" si="45"/>
        <v>0.5</v>
      </c>
      <c r="S63" s="8">
        <v>10</v>
      </c>
      <c r="T63" s="50">
        <v>20</v>
      </c>
      <c r="U63" s="8">
        <v>65</v>
      </c>
      <c r="V63" s="8">
        <f>SUMIFS(raw_output!$K$2:$K$197,raw_output!$M$2:$M$197,'Overall Output. Labeled'!$N63,raw_output!$A$2:$A$197,'Overall Output. Labeled'!$U63,raw_output!$B$2:$B$197,'Overall Output. Labeled'!$S63,raw_output!$C$2:$C$197,'Overall Output. Labeled'!$T63,raw_output!$D$2:$D$197,'Overall Output. Labeled'!$P63,raw_output!$E$2:$E$197,'Overall Output. Labeled'!$Q63,raw_output!$F$2:$F$197,'Overall Output. Labeled'!$R63)</f>
        <v>326.36233150701401</v>
      </c>
      <c r="W63" s="8">
        <f t="array" ref="W63">SUMIFS(raw_output!$J$2:$J$197,raw_output!$M$2:$M$197,'Overall Output. Labeled'!$N63,raw_output!$A$2:$A$197,'Overall Output. Labeled'!$U63,raw_output!$B$2:$B$197,'Overall Output. Labeled'!$S63,raw_output!$C$2:$C$197,'Overall Output. Labeled'!$T63,raw_output!$D$2:$D$197,'Overall Output. Labeled'!$P63,raw_output!$E$2:$E$197,'Overall Output. Labeled'!$Q63,raw_output!$F$2:$F$197,'Overall Output. Labeled'!$R63)*1000</f>
        <v>1178.3826528464701</v>
      </c>
    </row>
    <row r="64" spans="1:23" x14ac:dyDescent="0.2">
      <c r="A64" s="8" t="s">
        <v>133</v>
      </c>
      <c r="B64" s="8"/>
      <c r="C64" s="8" t="s">
        <v>146</v>
      </c>
      <c r="D64" s="8"/>
      <c r="E64" s="8"/>
      <c r="F64" s="8">
        <v>1</v>
      </c>
      <c r="G64" s="8">
        <v>1</v>
      </c>
      <c r="H64" s="8">
        <v>1</v>
      </c>
      <c r="I64" s="8" t="str">
        <f t="shared" si="41"/>
        <v>65+</v>
      </c>
      <c r="J64" s="8" t="str">
        <f t="shared" si="46"/>
        <v>$326B</v>
      </c>
      <c r="K64" s="8" t="str">
        <f>_xlfn.CONCAT(TEXT(SUMIFS(raw_output!$N$2:$N$197,raw_output!$M$2:$M$197,'Overall Output. Labeled'!$N64,raw_output!$A$2:$A$197,'Overall Output. Labeled'!$U64,raw_output!$B$2:$B$197,'Overall Output. Labeled'!$S64,raw_output!$C$2:$C$197,'Overall Output. Labeled'!$T64,raw_output!$D$2:$D$197,'Overall Output. Labeled'!$P64,raw_output!$E$2:$E$197,'Overall Output. Labeled'!$Q64,raw_output!$F$2:$F$197,'Overall Output. Labeled'!$R64),"$#.0"),"T")</f>
        <v>$5.2T</v>
      </c>
      <c r="L64" s="8" t="str">
        <f t="shared" si="42"/>
        <v>1.2M</v>
      </c>
      <c r="M64" s="8" t="str">
        <f>TEXT(SUMIFS(raw_output!$L$2:$L$197,raw_output!$M$2:$M$197,'Overall Output. Labeled'!$N64,raw_output!$A$2:$A$197,'Overall Output. Labeled'!$U64,raw_output!$B$2:$B$197,'Overall Output. Labeled'!$S64,raw_output!$C$2:$C$197,'Overall Output. Labeled'!$T64,raw_output!$D$2:$D$197,'Overall Output. Labeled'!$P64,raw_output!$E$2:$E$197,'Overall Output. Labeled'!$Q64,raw_output!$F$2:$F$197,'Overall Output. Labeled'!$R64),"$#.##")</f>
        <v>$327.93</v>
      </c>
      <c r="N64" s="8">
        <v>0.04</v>
      </c>
      <c r="O64" s="8">
        <v>0.5</v>
      </c>
      <c r="P64" s="8">
        <f t="shared" si="43"/>
        <v>0.5</v>
      </c>
      <c r="Q64" s="8">
        <f t="shared" si="44"/>
        <v>0.5</v>
      </c>
      <c r="R64" s="8">
        <f t="shared" si="45"/>
        <v>0.5</v>
      </c>
      <c r="S64" s="8">
        <v>10</v>
      </c>
      <c r="T64" s="50">
        <v>20</v>
      </c>
      <c r="U64" s="8">
        <v>65</v>
      </c>
      <c r="V64" s="8">
        <f>SUMIFS(raw_output!$K$2:$K$197,raw_output!$M$2:$M$197,'Overall Output. Labeled'!$N64,raw_output!$A$2:$A$197,'Overall Output. Labeled'!$U64,raw_output!$B$2:$B$197,'Overall Output. Labeled'!$S64,raw_output!$C$2:$C$197,'Overall Output. Labeled'!$T64,raw_output!$D$2:$D$197,'Overall Output. Labeled'!$P64,raw_output!$E$2:$E$197,'Overall Output. Labeled'!$Q64,raw_output!$F$2:$F$197,'Overall Output. Labeled'!$R64)</f>
        <v>326.36233150701401</v>
      </c>
      <c r="W64" s="8">
        <f t="array" ref="W64">SUMIFS(raw_output!$J$2:$J$197,raw_output!$M$2:$M$197,'Overall Output. Labeled'!$N64,raw_output!$A$2:$A$197,'Overall Output. Labeled'!$U64,raw_output!$B$2:$B$197,'Overall Output. Labeled'!$S64,raw_output!$C$2:$C$197,'Overall Output. Labeled'!$T64,raw_output!$D$2:$D$197,'Overall Output. Labeled'!$P64,raw_output!$E$2:$E$197,'Overall Output. Labeled'!$Q64,raw_output!$F$2:$F$197,'Overall Output. Labeled'!$R64)*1000</f>
        <v>1178.3826528464701</v>
      </c>
    </row>
    <row r="65" spans="1:23" x14ac:dyDescent="0.2">
      <c r="A65" s="8" t="s">
        <v>133</v>
      </c>
      <c r="B65" s="8"/>
      <c r="C65" s="8" t="s">
        <v>147</v>
      </c>
      <c r="D65" s="8"/>
      <c r="E65" s="8"/>
      <c r="F65" s="8">
        <v>0.82</v>
      </c>
      <c r="G65" s="8">
        <v>0.72699999999999998</v>
      </c>
      <c r="H65" s="8">
        <v>0</v>
      </c>
      <c r="I65" s="8" t="str">
        <f t="shared" si="41"/>
        <v>65+</v>
      </c>
      <c r="J65" s="8" t="str">
        <f t="shared" si="46"/>
        <v>$40B</v>
      </c>
      <c r="K65" s="8" t="str">
        <f>_xlfn.CONCAT(TEXT(SUMIFS(raw_output!$N$2:$N$197,raw_output!$M$2:$M$197,'Overall Output. Labeled'!$N65,raw_output!$A$2:$A$197,'Overall Output. Labeled'!$U65,raw_output!$B$2:$B$197,'Overall Output. Labeled'!$S65,raw_output!$C$2:$C$197,'Overall Output. Labeled'!$T65,raw_output!$D$2:$D$197,'Overall Output. Labeled'!$P65,raw_output!$E$2:$E$197,'Overall Output. Labeled'!$Q65,raw_output!$F$2:$F$197,'Overall Output. Labeled'!$R65),"$#.0"),"T")</f>
        <v>$4.3T</v>
      </c>
      <c r="L65" s="8" t="str">
        <f t="shared" si="42"/>
        <v>275k</v>
      </c>
      <c r="M65" s="8" t="str">
        <f>TEXT(SUMIFS(raw_output!$L$2:$L$197,raw_output!$M$2:$M$197,'Overall Output. Labeled'!$N65,raw_output!$A$2:$A$197,'Overall Output. Labeled'!$U65,raw_output!$B$2:$B$197,'Overall Output. Labeled'!$S65,raw_output!$C$2:$C$197,'Overall Output. Labeled'!$T65,raw_output!$D$2:$D$197,'Overall Output. Labeled'!$P65,raw_output!$E$2:$E$197,'Overall Output. Labeled'!$Q65,raw_output!$F$2:$F$197,'Overall Output. Labeled'!$R65),"$#.##")</f>
        <v>-$19.85</v>
      </c>
      <c r="N65" s="8">
        <v>0.01</v>
      </c>
      <c r="O65" s="8">
        <v>0.11</v>
      </c>
      <c r="P65" s="34">
        <v>0.09</v>
      </c>
      <c r="Q65" s="34">
        <v>0.08</v>
      </c>
      <c r="R65" s="8">
        <f>H65*$O65</f>
        <v>0</v>
      </c>
      <c r="S65" s="8">
        <v>5</v>
      </c>
      <c r="T65" s="8">
        <v>10</v>
      </c>
      <c r="U65" s="8">
        <v>65</v>
      </c>
      <c r="V65" s="8">
        <f>SUMIFS(raw_output!$K$2:$K$197,raw_output!$M$2:$M$197,'Overall Output. Labeled'!$N65,raw_output!$A$2:$A$197,'Overall Output. Labeled'!$U65,raw_output!$B$2:$B$197,'Overall Output. Labeled'!$S65,raw_output!$C$2:$C$197,'Overall Output. Labeled'!$T65,raw_output!$D$2:$D$197,'Overall Output. Labeled'!$P65,raw_output!$E$2:$E$197,'Overall Output. Labeled'!$Q65,raw_output!$F$2:$F$197,'Overall Output. Labeled'!$R65)</f>
        <v>40.442704486427402</v>
      </c>
      <c r="W65" s="8">
        <f t="array" ref="W65">SUMIFS(raw_output!$J$2:$J$197,raw_output!$M$2:$M$197,'Overall Output. Labeled'!$N65,raw_output!$A$2:$A$197,'Overall Output. Labeled'!$U65,raw_output!$B$2:$B$197,'Overall Output. Labeled'!$S65,raw_output!$C$2:$C$197,'Overall Output. Labeled'!$T65,raw_output!$D$2:$D$197,'Overall Output. Labeled'!$P65,raw_output!$E$2:$E$197,'Overall Output. Labeled'!$Q65,raw_output!$F$2:$F$197,'Overall Output. Labeled'!$R65)*1000</f>
        <v>275.208442192635</v>
      </c>
    </row>
    <row r="66" spans="1:23" x14ac:dyDescent="0.2">
      <c r="A66" s="8" t="s">
        <v>133</v>
      </c>
      <c r="B66" s="8"/>
      <c r="C66" s="8" t="s">
        <v>148</v>
      </c>
      <c r="D66" s="8"/>
      <c r="E66" s="8"/>
      <c r="F66" s="8">
        <v>0.82</v>
      </c>
      <c r="G66" s="8">
        <v>0.72699999999999998</v>
      </c>
      <c r="H66" s="8">
        <v>0</v>
      </c>
      <c r="I66" s="8" t="str">
        <f t="shared" si="41"/>
        <v>65+</v>
      </c>
      <c r="J66" s="8" t="str">
        <f t="shared" si="46"/>
        <v>$40B</v>
      </c>
      <c r="K66" s="8" t="str">
        <f>_xlfn.CONCAT(TEXT(SUMIFS(raw_output!$N$2:$N$197,raw_output!$M$2:$M$197,'Overall Output. Labeled'!$N66,raw_output!$A$2:$A$197,'Overall Output. Labeled'!$U66,raw_output!$B$2:$B$197,'Overall Output. Labeled'!$S66,raw_output!$C$2:$C$197,'Overall Output. Labeled'!$T66,raw_output!$D$2:$D$197,'Overall Output. Labeled'!$P66,raw_output!$E$2:$E$197,'Overall Output. Labeled'!$Q66,raw_output!$F$2:$F$197,'Overall Output. Labeled'!$R66),"$#.0"),"T")</f>
        <v>$2.4T</v>
      </c>
      <c r="L66" s="8" t="str">
        <f t="shared" si="42"/>
        <v>275k</v>
      </c>
      <c r="M66" s="8" t="str">
        <f>TEXT(SUMIFS(raw_output!$L$2:$L$197,raw_output!$M$2:$M$197,'Overall Output. Labeled'!$N66,raw_output!$A$2:$A$197,'Overall Output. Labeled'!$U66,raw_output!$B$2:$B$197,'Overall Output. Labeled'!$S66,raw_output!$C$2:$C$197,'Overall Output. Labeled'!$T66,raw_output!$D$2:$D$197,'Overall Output. Labeled'!$P66,raw_output!$E$2:$E$197,'Overall Output. Labeled'!$Q66,raw_output!$F$2:$F$197,'Overall Output. Labeled'!$R66),"$#.##")</f>
        <v>-$19.85</v>
      </c>
      <c r="N66" s="8">
        <v>0.02</v>
      </c>
      <c r="O66" s="8">
        <v>0.11</v>
      </c>
      <c r="P66" s="34">
        <v>0.09</v>
      </c>
      <c r="Q66" s="34">
        <v>0.08</v>
      </c>
      <c r="R66" s="8">
        <f>H66*$O66</f>
        <v>0</v>
      </c>
      <c r="S66" s="8">
        <v>5</v>
      </c>
      <c r="T66" s="8">
        <v>10</v>
      </c>
      <c r="U66" s="8">
        <v>65</v>
      </c>
      <c r="V66" s="8">
        <f>SUMIFS(raw_output!$K$2:$K$197,raw_output!$M$2:$M$197,'Overall Output. Labeled'!$N66,raw_output!$A$2:$A$197,'Overall Output. Labeled'!$U66,raw_output!$B$2:$B$197,'Overall Output. Labeled'!$S66,raw_output!$C$2:$C$197,'Overall Output. Labeled'!$T66,raw_output!$D$2:$D$197,'Overall Output. Labeled'!$P66,raw_output!$E$2:$E$197,'Overall Output. Labeled'!$Q66,raw_output!$F$2:$F$197,'Overall Output. Labeled'!$R66)</f>
        <v>40.442704486427402</v>
      </c>
      <c r="W66" s="8">
        <f t="array" ref="W66">SUMIFS(raw_output!$J$2:$J$197,raw_output!$M$2:$M$197,'Overall Output. Labeled'!$N66,raw_output!$A$2:$A$197,'Overall Output. Labeled'!$U66,raw_output!$B$2:$B$197,'Overall Output. Labeled'!$S66,raw_output!$C$2:$C$197,'Overall Output. Labeled'!$T66,raw_output!$D$2:$D$197,'Overall Output. Labeled'!$P66,raw_output!$E$2:$E$197,'Overall Output. Labeled'!$Q66,raw_output!$F$2:$F$197,'Overall Output. Labeled'!$R66)*1000</f>
        <v>275.208442192635</v>
      </c>
    </row>
    <row r="67" spans="1:23" x14ac:dyDescent="0.2">
      <c r="A67" s="8" t="s">
        <v>133</v>
      </c>
      <c r="B67" s="8"/>
      <c r="C67" s="8" t="s">
        <v>149</v>
      </c>
      <c r="D67" s="8"/>
      <c r="E67" s="8"/>
      <c r="F67" s="8">
        <v>0.82</v>
      </c>
      <c r="G67" s="8">
        <v>0.72699999999999998</v>
      </c>
      <c r="H67" s="8">
        <v>0</v>
      </c>
      <c r="I67" s="8" t="str">
        <f t="shared" si="41"/>
        <v>65+</v>
      </c>
      <c r="J67" s="8" t="str">
        <f t="shared" si="46"/>
        <v>$40B</v>
      </c>
      <c r="K67" s="8" t="str">
        <f>_xlfn.CONCAT(TEXT(SUMIFS(raw_output!$N$2:$N$197,raw_output!$M$2:$M$197,'Overall Output. Labeled'!$N67,raw_output!$A$2:$A$197,'Overall Output. Labeled'!$U67,raw_output!$B$2:$B$197,'Overall Output. Labeled'!$S67,raw_output!$C$2:$C$197,'Overall Output. Labeled'!$T67,raw_output!$D$2:$D$197,'Overall Output. Labeled'!$P67,raw_output!$E$2:$E$197,'Overall Output. Labeled'!$Q67,raw_output!$F$2:$F$197,'Overall Output. Labeled'!$R67),"$#.0"),"T")</f>
        <v>$1.5T</v>
      </c>
      <c r="L67" s="8" t="str">
        <f t="shared" si="42"/>
        <v>275k</v>
      </c>
      <c r="M67" s="8" t="str">
        <f>TEXT(SUMIFS(raw_output!$L$2:$L$197,raw_output!$M$2:$M$197,'Overall Output. Labeled'!$N67,raw_output!$A$2:$A$197,'Overall Output. Labeled'!$U67,raw_output!$B$2:$B$197,'Overall Output. Labeled'!$S67,raw_output!$C$2:$C$197,'Overall Output. Labeled'!$T67,raw_output!$D$2:$D$197,'Overall Output. Labeled'!$P67,raw_output!$E$2:$E$197,'Overall Output. Labeled'!$Q67,raw_output!$F$2:$F$197,'Overall Output. Labeled'!$R67),"$#.##")</f>
        <v>-$19.85</v>
      </c>
      <c r="N67" s="8">
        <v>0.03</v>
      </c>
      <c r="O67" s="8">
        <v>0.11</v>
      </c>
      <c r="P67" s="34">
        <v>0.09</v>
      </c>
      <c r="Q67" s="34">
        <v>0.08</v>
      </c>
      <c r="R67" s="8">
        <f>H67*$O67</f>
        <v>0</v>
      </c>
      <c r="S67" s="8">
        <v>5</v>
      </c>
      <c r="T67" s="8">
        <v>10</v>
      </c>
      <c r="U67" s="8">
        <v>65</v>
      </c>
      <c r="V67" s="8">
        <f>SUMIFS(raw_output!$K$2:$K$197,raw_output!$M$2:$M$197,'Overall Output. Labeled'!$N67,raw_output!$A$2:$A$197,'Overall Output. Labeled'!$U67,raw_output!$B$2:$B$197,'Overall Output. Labeled'!$S67,raw_output!$C$2:$C$197,'Overall Output. Labeled'!$T67,raw_output!$D$2:$D$197,'Overall Output. Labeled'!$P67,raw_output!$E$2:$E$197,'Overall Output. Labeled'!$Q67,raw_output!$F$2:$F$197,'Overall Output. Labeled'!$R67)</f>
        <v>40.442704486427402</v>
      </c>
      <c r="W67" s="8">
        <f t="array" ref="W67">SUMIFS(raw_output!$J$2:$J$197,raw_output!$M$2:$M$197,'Overall Output. Labeled'!$N67,raw_output!$A$2:$A$197,'Overall Output. Labeled'!$U67,raw_output!$B$2:$B$197,'Overall Output. Labeled'!$S67,raw_output!$C$2:$C$197,'Overall Output. Labeled'!$T67,raw_output!$D$2:$D$197,'Overall Output. Labeled'!$P67,raw_output!$E$2:$E$197,'Overall Output. Labeled'!$Q67,raw_output!$F$2:$F$197,'Overall Output. Labeled'!$R67)*1000</f>
        <v>275.208442192635</v>
      </c>
    </row>
    <row r="68" spans="1:23" x14ac:dyDescent="0.2">
      <c r="A68" s="8" t="s">
        <v>133</v>
      </c>
      <c r="B68" s="8"/>
      <c r="C68" s="8" t="s">
        <v>150</v>
      </c>
      <c r="D68" s="8"/>
      <c r="E68" s="8"/>
      <c r="F68" s="8">
        <v>0.82</v>
      </c>
      <c r="G68" s="8">
        <v>0.72699999999999998</v>
      </c>
      <c r="H68" s="8">
        <v>0</v>
      </c>
      <c r="I68" s="8" t="str">
        <f t="shared" si="41"/>
        <v>65+</v>
      </c>
      <c r="J68" s="8" t="str">
        <f t="shared" si="46"/>
        <v>$40B</v>
      </c>
      <c r="K68" s="8" t="str">
        <f>_xlfn.CONCAT(TEXT(SUMIFS(raw_output!$N$2:$N$197,raw_output!$M$2:$M$197,'Overall Output. Labeled'!$N68,raw_output!$A$2:$A$197,'Overall Output. Labeled'!$U68,raw_output!$B$2:$B$197,'Overall Output. Labeled'!$S68,raw_output!$C$2:$C$197,'Overall Output. Labeled'!$T68,raw_output!$D$2:$D$197,'Overall Output. Labeled'!$P68,raw_output!$E$2:$E$197,'Overall Output. Labeled'!$Q68,raw_output!$F$2:$F$197,'Overall Output. Labeled'!$R68),"$#.0"),"T")</f>
        <v>$.9T</v>
      </c>
      <c r="L68" s="8" t="str">
        <f t="shared" si="42"/>
        <v>275k</v>
      </c>
      <c r="M68" s="8" t="str">
        <f>TEXT(SUMIFS(raw_output!$L$2:$L$197,raw_output!$M$2:$M$197,'Overall Output. Labeled'!$N68,raw_output!$A$2:$A$197,'Overall Output. Labeled'!$U68,raw_output!$B$2:$B$197,'Overall Output. Labeled'!$S68,raw_output!$C$2:$C$197,'Overall Output. Labeled'!$T68,raw_output!$D$2:$D$197,'Overall Output. Labeled'!$P68,raw_output!$E$2:$E$197,'Overall Output. Labeled'!$Q68,raw_output!$F$2:$F$197,'Overall Output. Labeled'!$R68),"$#.##")</f>
        <v>-$19.85</v>
      </c>
      <c r="N68" s="8">
        <v>0.04</v>
      </c>
      <c r="O68" s="8">
        <v>0.11</v>
      </c>
      <c r="P68" s="34">
        <v>0.09</v>
      </c>
      <c r="Q68" s="34">
        <v>0.08</v>
      </c>
      <c r="R68" s="8">
        <f>H68*$O68</f>
        <v>0</v>
      </c>
      <c r="S68" s="8">
        <v>5</v>
      </c>
      <c r="T68" s="8">
        <v>10</v>
      </c>
      <c r="U68" s="8">
        <v>65</v>
      </c>
      <c r="V68" s="8">
        <f>SUMIFS(raw_output!$K$2:$K$197,raw_output!$M$2:$M$197,'Overall Output. Labeled'!$N68,raw_output!$A$2:$A$197,'Overall Output. Labeled'!$U68,raw_output!$B$2:$B$197,'Overall Output. Labeled'!$S68,raw_output!$C$2:$C$197,'Overall Output. Labeled'!$T68,raw_output!$D$2:$D$197,'Overall Output. Labeled'!$P68,raw_output!$E$2:$E$197,'Overall Output. Labeled'!$Q68,raw_output!$F$2:$F$197,'Overall Output. Labeled'!$R68)</f>
        <v>40.442704486427402</v>
      </c>
      <c r="W68" s="8">
        <f t="array" ref="W68">SUMIFS(raw_output!$J$2:$J$197,raw_output!$M$2:$M$197,'Overall Output. Labeled'!$N68,raw_output!$A$2:$A$197,'Overall Output. Labeled'!$U68,raw_output!$B$2:$B$197,'Overall Output. Labeled'!$S68,raw_output!$C$2:$C$197,'Overall Output. Labeled'!$T68,raw_output!$D$2:$D$197,'Overall Output. Labeled'!$P68,raw_output!$E$2:$E$197,'Overall Output. Labeled'!$Q68,raw_output!$F$2:$F$197,'Overall Output. Labeled'!$R68)*1000</f>
        <v>275.208442192635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51B2-8CF7-EF44-90E1-4F91B565CF51}">
  <dimension ref="A1:G7"/>
  <sheetViews>
    <sheetView zoomScale="213" zoomScaleNormal="213" workbookViewId="0">
      <selection activeCell="E2" sqref="E2"/>
    </sheetView>
  </sheetViews>
  <sheetFormatPr baseColWidth="10" defaultRowHeight="16" x14ac:dyDescent="0.2"/>
  <cols>
    <col min="1" max="1" width="11.83203125" customWidth="1"/>
    <col min="2" max="2" width="12.5" customWidth="1"/>
    <col min="4" max="4" width="0" hidden="1" customWidth="1"/>
    <col min="5" max="5" width="15.83203125" customWidth="1"/>
    <col min="6" max="6" width="14.33203125" customWidth="1"/>
  </cols>
  <sheetData>
    <row r="1" spans="1:7" ht="21" x14ac:dyDescent="0.25">
      <c r="A1" s="14" t="s">
        <v>61</v>
      </c>
      <c r="B1" s="8"/>
      <c r="C1" s="8"/>
      <c r="D1" s="8"/>
      <c r="E1" s="8"/>
      <c r="F1" s="8"/>
      <c r="G1" s="8"/>
    </row>
    <row r="2" spans="1:7" ht="69" thickBot="1" x14ac:dyDescent="0.25">
      <c r="A2" s="10" t="s">
        <v>19</v>
      </c>
      <c r="B2" s="10" t="s">
        <v>20</v>
      </c>
      <c r="C2" s="10" t="s">
        <v>21</v>
      </c>
      <c r="D2" s="10" t="s">
        <v>30</v>
      </c>
      <c r="E2" s="10" t="s">
        <v>175</v>
      </c>
      <c r="F2" s="11" t="s">
        <v>23</v>
      </c>
      <c r="G2" s="12" t="s">
        <v>174</v>
      </c>
    </row>
    <row r="3" spans="1:7" ht="17" thickTop="1" x14ac:dyDescent="0.2">
      <c r="A3" s="20">
        <f>'Overall Output. Labeled'!F3</f>
        <v>0.2</v>
      </c>
      <c r="B3" s="20">
        <f>'Overall Output. Labeled'!G3</f>
        <v>0.7</v>
      </c>
      <c r="C3" s="20">
        <f>'Overall Output. Labeled'!H3</f>
        <v>0</v>
      </c>
      <c r="D3" s="20" t="str">
        <f>'Overall Output. Labeled'!I3</f>
        <v>40+</v>
      </c>
      <c r="E3" s="20" t="str">
        <f>'Overall Output. Labeled'!J3</f>
        <v>$201B</v>
      </c>
      <c r="F3" s="20" t="str">
        <f>'Overall Output. Labeled'!K3</f>
        <v>$8.9T</v>
      </c>
      <c r="G3" s="20" t="str">
        <f>'Overall Output. Labeled'!L3</f>
        <v>268k</v>
      </c>
    </row>
    <row r="4" spans="1:7" x14ac:dyDescent="0.2">
      <c r="A4" s="51" t="s">
        <v>65</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sheetData>
  <mergeCells count="1">
    <mergeCell ref="A4:G7"/>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AEFA-D9DC-A244-A0C6-59A3DA9566B9}">
  <dimension ref="A1:G7"/>
  <sheetViews>
    <sheetView workbookViewId="0">
      <selection activeCell="E2" sqref="E2"/>
    </sheetView>
  </sheetViews>
  <sheetFormatPr baseColWidth="10" defaultRowHeight="16" x14ac:dyDescent="0.2"/>
  <cols>
    <col min="1" max="1" width="11.83203125" customWidth="1"/>
    <col min="2" max="2" width="12.5" customWidth="1"/>
    <col min="4" max="4" width="0" hidden="1" customWidth="1"/>
    <col min="5" max="5" width="15.83203125" customWidth="1"/>
    <col min="6" max="6" width="14.33203125" customWidth="1"/>
  </cols>
  <sheetData>
    <row r="1" spans="1:7" ht="21" x14ac:dyDescent="0.25">
      <c r="A1" s="14" t="s">
        <v>62</v>
      </c>
      <c r="B1" s="8"/>
      <c r="C1" s="8"/>
      <c r="D1" s="8"/>
      <c r="E1" s="8"/>
      <c r="F1" s="8"/>
      <c r="G1" s="8"/>
    </row>
    <row r="2" spans="1:7" ht="69" thickBot="1" x14ac:dyDescent="0.25">
      <c r="A2" s="10" t="s">
        <v>19</v>
      </c>
      <c r="B2" s="10" t="s">
        <v>20</v>
      </c>
      <c r="C2" s="10" t="s">
        <v>21</v>
      </c>
      <c r="D2" s="10" t="s">
        <v>30</v>
      </c>
      <c r="E2" s="10" t="s">
        <v>175</v>
      </c>
      <c r="F2" s="11" t="s">
        <v>23</v>
      </c>
      <c r="G2" s="12" t="s">
        <v>174</v>
      </c>
    </row>
    <row r="3" spans="1:7" ht="17" thickTop="1" x14ac:dyDescent="0.2">
      <c r="A3" s="20">
        <f>'Overall Output. Labeled'!F4</f>
        <v>0.02</v>
      </c>
      <c r="B3" s="20">
        <f>'Overall Output. Labeled'!G4</f>
        <v>0.1</v>
      </c>
      <c r="C3" s="20">
        <f>'Overall Output. Labeled'!H4</f>
        <v>1</v>
      </c>
      <c r="D3" s="20" t="str">
        <f>'Overall Output. Labeled'!I4</f>
        <v>40+</v>
      </c>
      <c r="E3" s="20" t="str">
        <f>'Overall Output. Labeled'!J4</f>
        <v>$9B</v>
      </c>
      <c r="F3" s="20" t="str">
        <f>'Overall Output. Labeled'!K4</f>
        <v>$9.3T</v>
      </c>
      <c r="G3" s="20" t="str">
        <f>'Overall Output. Labeled'!L4</f>
        <v>391k</v>
      </c>
    </row>
    <row r="4" spans="1:7" x14ac:dyDescent="0.2">
      <c r="A4" s="51" t="s">
        <v>124</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sheetData>
  <mergeCells count="1">
    <mergeCell ref="A4:G7"/>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32AD-8418-184D-86B0-B52576A9DAFA}">
  <dimension ref="A1:G8"/>
  <sheetViews>
    <sheetView workbookViewId="0">
      <selection activeCell="E2" sqref="E2"/>
    </sheetView>
  </sheetViews>
  <sheetFormatPr baseColWidth="10" defaultRowHeight="16" x14ac:dyDescent="0.2"/>
  <cols>
    <col min="1" max="1" width="14.33203125" customWidth="1"/>
    <col min="2" max="2" width="11.83203125" customWidth="1"/>
    <col min="3" max="3" width="12.5" customWidth="1"/>
    <col min="5" max="5" width="15.83203125" customWidth="1"/>
    <col min="6" max="6" width="14.33203125" customWidth="1"/>
  </cols>
  <sheetData>
    <row r="1" spans="1:7" ht="21" x14ac:dyDescent="0.25">
      <c r="A1" s="14" t="s">
        <v>63</v>
      </c>
      <c r="B1" s="14"/>
      <c r="C1" s="8"/>
      <c r="D1" s="8"/>
      <c r="E1" s="8"/>
      <c r="F1" s="8"/>
      <c r="G1" s="8"/>
    </row>
    <row r="2" spans="1:7" ht="69" thickBot="1" x14ac:dyDescent="0.25">
      <c r="A2" s="41"/>
      <c r="B2" s="10" t="s">
        <v>19</v>
      </c>
      <c r="C2" s="10" t="s">
        <v>20</v>
      </c>
      <c r="D2" s="10" t="s">
        <v>21</v>
      </c>
      <c r="E2" s="10" t="s">
        <v>175</v>
      </c>
      <c r="F2" s="11" t="s">
        <v>23</v>
      </c>
      <c r="G2" s="12" t="s">
        <v>174</v>
      </c>
    </row>
    <row r="3" spans="1:7" ht="17" thickTop="1" x14ac:dyDescent="0.2">
      <c r="A3" s="8" t="s">
        <v>131</v>
      </c>
      <c r="B3" s="43">
        <f>'Overall Output. Labeled'!F6</f>
        <v>0.22</v>
      </c>
      <c r="C3" s="43">
        <f>'Overall Output. Labeled'!G6</f>
        <v>0</v>
      </c>
      <c r="D3" s="43">
        <f>'Overall Output. Labeled'!H6</f>
        <v>0</v>
      </c>
      <c r="E3" s="44" t="str">
        <f>'Overall Output. Labeled'!J6</f>
        <v>$50B</v>
      </c>
      <c r="F3" s="44" t="str">
        <f>'Overall Output. Labeled'!K6</f>
        <v>$3.2T</v>
      </c>
      <c r="G3" s="44" t="str">
        <f>'Overall Output. Labeled'!L6</f>
        <v>592k</v>
      </c>
    </row>
    <row r="4" spans="1:7" x14ac:dyDescent="0.2">
      <c r="A4" s="42" t="s">
        <v>132</v>
      </c>
      <c r="B4" s="40">
        <f>'Overall Output. Labeled'!F5</f>
        <v>0.44</v>
      </c>
      <c r="C4" s="40">
        <f>'Overall Output. Labeled'!G5</f>
        <v>0</v>
      </c>
      <c r="D4" s="40">
        <f>'Overall Output. Labeled'!H5</f>
        <v>0</v>
      </c>
      <c r="E4" s="40" t="str">
        <f>'Overall Output. Labeled'!J5</f>
        <v>$118B</v>
      </c>
      <c r="F4" s="40" t="str">
        <f>'Overall Output. Labeled'!K5</f>
        <v>$6.8T</v>
      </c>
      <c r="G4" s="40" t="str">
        <f>'Overall Output. Labeled'!L5</f>
        <v>1.2M</v>
      </c>
    </row>
    <row r="5" spans="1:7" ht="16" customHeight="1" x14ac:dyDescent="0.2">
      <c r="A5" s="52" t="s">
        <v>64</v>
      </c>
      <c r="B5" s="52"/>
      <c r="C5" s="52"/>
      <c r="D5" s="52"/>
      <c r="E5" s="52"/>
      <c r="F5" s="52"/>
      <c r="G5" s="52"/>
    </row>
    <row r="6" spans="1:7" x14ac:dyDescent="0.2">
      <c r="A6" s="52"/>
      <c r="B6" s="52"/>
      <c r="C6" s="52"/>
      <c r="D6" s="52"/>
      <c r="E6" s="52"/>
      <c r="F6" s="52"/>
      <c r="G6" s="52"/>
    </row>
    <row r="7" spans="1:7" x14ac:dyDescent="0.2">
      <c r="A7" s="52"/>
      <c r="B7" s="52"/>
      <c r="C7" s="52"/>
      <c r="D7" s="52"/>
      <c r="E7" s="52"/>
      <c r="F7" s="52"/>
      <c r="G7" s="52"/>
    </row>
    <row r="8" spans="1:7" x14ac:dyDescent="0.2">
      <c r="A8" s="52"/>
      <c r="B8" s="52"/>
      <c r="C8" s="52"/>
      <c r="D8" s="52"/>
      <c r="E8" s="52"/>
      <c r="F8" s="52"/>
      <c r="G8" s="52"/>
    </row>
  </sheetData>
  <mergeCells count="1">
    <mergeCell ref="A5:G8"/>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438C-31AA-F346-960E-642C0B634EAF}">
  <dimension ref="A1:E30"/>
  <sheetViews>
    <sheetView tabSelected="1" workbookViewId="0">
      <selection activeCell="E26" sqref="A23:E26"/>
    </sheetView>
  </sheetViews>
  <sheetFormatPr baseColWidth="10" defaultRowHeight="16" x14ac:dyDescent="0.2"/>
  <cols>
    <col min="1" max="1" width="19.83203125" customWidth="1"/>
    <col min="2" max="2" width="19" customWidth="1"/>
    <col min="3" max="3" width="15.83203125" customWidth="1"/>
    <col min="4" max="4" width="14.33203125" customWidth="1"/>
  </cols>
  <sheetData>
    <row r="1" spans="1:5" ht="21" x14ac:dyDescent="0.25">
      <c r="A1" s="14" t="s">
        <v>66</v>
      </c>
      <c r="B1" s="8"/>
      <c r="C1" s="8"/>
      <c r="D1" s="8"/>
    </row>
    <row r="2" spans="1:5" ht="69" thickBot="1" x14ac:dyDescent="0.25">
      <c r="A2" s="10" t="s">
        <v>67</v>
      </c>
      <c r="B2" s="10" t="s">
        <v>68</v>
      </c>
      <c r="C2" s="10" t="s">
        <v>175</v>
      </c>
      <c r="D2" s="11" t="s">
        <v>23</v>
      </c>
      <c r="E2" s="11" t="s">
        <v>174</v>
      </c>
    </row>
    <row r="3" spans="1:5" ht="64" customHeight="1" thickTop="1" x14ac:dyDescent="0.2">
      <c r="A3" s="53" t="s">
        <v>73</v>
      </c>
      <c r="B3" s="18" t="s">
        <v>69</v>
      </c>
      <c r="C3" s="19" t="str">
        <f>'Overall Output. Labeled'!J7</f>
        <v>$40B</v>
      </c>
      <c r="D3" s="19" t="str">
        <f>'Overall Output. Labeled'!K7</f>
        <v>$2.4T</v>
      </c>
      <c r="E3" s="19" t="str">
        <f>'Overall Output. Labeled'!L7</f>
        <v>275k</v>
      </c>
    </row>
    <row r="4" spans="1:5" ht="64" customHeight="1" x14ac:dyDescent="0.2">
      <c r="A4" s="54"/>
      <c r="B4" s="17" t="s">
        <v>70</v>
      </c>
      <c r="C4" s="23" t="str">
        <f>'Overall Output. Labeled'!J8</f>
        <v>$79B</v>
      </c>
      <c r="D4" s="23" t="str">
        <f>'Overall Output. Labeled'!K8</f>
        <v>$4.2T</v>
      </c>
      <c r="E4" s="23" t="str">
        <f>'Overall Output. Labeled'!L8</f>
        <v>460k</v>
      </c>
    </row>
    <row r="5" spans="1:5" x14ac:dyDescent="0.2">
      <c r="A5" s="51" t="s">
        <v>92</v>
      </c>
      <c r="B5" s="51"/>
      <c r="C5" s="51"/>
      <c r="D5" s="51"/>
    </row>
    <row r="6" spans="1:5" x14ac:dyDescent="0.2">
      <c r="A6" s="52"/>
      <c r="B6" s="52"/>
      <c r="C6" s="52"/>
      <c r="D6" s="52"/>
    </row>
    <row r="7" spans="1:5" x14ac:dyDescent="0.2">
      <c r="A7" s="52"/>
      <c r="B7" s="52"/>
      <c r="C7" s="52"/>
      <c r="D7" s="52"/>
    </row>
    <row r="8" spans="1:5" x14ac:dyDescent="0.2">
      <c r="A8" s="52"/>
      <c r="B8" s="52"/>
      <c r="C8" s="52"/>
      <c r="D8" s="52"/>
    </row>
    <row r="11" spans="1:5" ht="21" x14ac:dyDescent="0.25">
      <c r="A11" s="14" t="s">
        <v>72</v>
      </c>
      <c r="B11" s="8"/>
      <c r="C11" s="8"/>
      <c r="D11" s="8"/>
    </row>
    <row r="12" spans="1:5" ht="69" thickBot="1" x14ac:dyDescent="0.25">
      <c r="A12" s="10" t="s">
        <v>67</v>
      </c>
      <c r="B12" s="10" t="s">
        <v>68</v>
      </c>
      <c r="C12" s="10" t="s">
        <v>175</v>
      </c>
      <c r="D12" s="11" t="s">
        <v>23</v>
      </c>
      <c r="E12" s="11" t="s">
        <v>174</v>
      </c>
    </row>
    <row r="13" spans="1:5" ht="120" thickTop="1" x14ac:dyDescent="0.2">
      <c r="A13" s="22" t="s">
        <v>78</v>
      </c>
      <c r="B13" s="18" t="s">
        <v>75</v>
      </c>
      <c r="C13" s="19" t="str">
        <f>C3</f>
        <v>$40B</v>
      </c>
      <c r="D13" s="19" t="str">
        <f>D3</f>
        <v>$2.4T</v>
      </c>
      <c r="E13" s="19" t="str">
        <f>E3</f>
        <v>275k</v>
      </c>
    </row>
    <row r="14" spans="1:5" ht="102" x14ac:dyDescent="0.2">
      <c r="A14" s="9" t="s">
        <v>77</v>
      </c>
      <c r="B14" s="17" t="s">
        <v>74</v>
      </c>
      <c r="C14" s="23" t="str">
        <f>'Overall Output. Labeled'!J9</f>
        <v>$505B</v>
      </c>
      <c r="D14" s="23" t="str">
        <f>'Overall Output. Labeled'!K9</f>
        <v>$22.2T</v>
      </c>
      <c r="E14" s="23" t="str">
        <f>'Overall Output. Labeled'!L9</f>
        <v>1.1M</v>
      </c>
    </row>
    <row r="15" spans="1:5" ht="17" x14ac:dyDescent="0.2">
      <c r="A15" s="15" t="s">
        <v>76</v>
      </c>
      <c r="B15" s="18" t="s">
        <v>79</v>
      </c>
      <c r="C15" s="19" t="str">
        <f>'Overall Output. Labeled'!J10</f>
        <v>$426B</v>
      </c>
      <c r="D15" s="19" t="str">
        <f>'Overall Output. Labeled'!K10</f>
        <v>$36.2T</v>
      </c>
      <c r="E15" s="58" t="str">
        <f>'Overall Output. Labeled'!L10</f>
        <v>650k</v>
      </c>
    </row>
    <row r="16" spans="1:5" ht="16" customHeight="1" x14ac:dyDescent="0.2">
      <c r="A16" s="51" t="s">
        <v>92</v>
      </c>
      <c r="B16" s="51"/>
      <c r="C16" s="51"/>
      <c r="D16" s="51"/>
    </row>
    <row r="17" spans="1:5" x14ac:dyDescent="0.2">
      <c r="A17" s="52"/>
      <c r="B17" s="52"/>
      <c r="C17" s="52"/>
      <c r="D17" s="52"/>
    </row>
    <row r="18" spans="1:5" x14ac:dyDescent="0.2">
      <c r="A18" s="52"/>
      <c r="B18" s="52"/>
      <c r="C18" s="52"/>
      <c r="D18" s="52"/>
    </row>
    <row r="19" spans="1:5" x14ac:dyDescent="0.2">
      <c r="A19" s="52"/>
      <c r="B19" s="52"/>
      <c r="C19" s="52"/>
      <c r="D19" s="52"/>
    </row>
    <row r="22" spans="1:5" ht="21" x14ac:dyDescent="0.25">
      <c r="A22" s="14" t="s">
        <v>88</v>
      </c>
      <c r="B22" s="8"/>
      <c r="C22" s="8"/>
      <c r="D22" s="8"/>
    </row>
    <row r="23" spans="1:5" ht="69" thickBot="1" x14ac:dyDescent="0.25">
      <c r="A23" s="10" t="s">
        <v>67</v>
      </c>
      <c r="B23" s="10" t="s">
        <v>68</v>
      </c>
      <c r="C23" s="10" t="s">
        <v>175</v>
      </c>
      <c r="D23" s="11" t="s">
        <v>23</v>
      </c>
      <c r="E23" s="11" t="s">
        <v>174</v>
      </c>
    </row>
    <row r="24" spans="1:5" ht="91" customHeight="1" thickTop="1" x14ac:dyDescent="0.2">
      <c r="A24" s="17" t="s">
        <v>82</v>
      </c>
      <c r="B24" s="17" t="s">
        <v>86</v>
      </c>
      <c r="C24" s="23" t="str">
        <f>C14</f>
        <v>$505B</v>
      </c>
      <c r="D24" s="23" t="str">
        <f>D14</f>
        <v>$22.2T</v>
      </c>
      <c r="E24" s="23" t="str">
        <f>E14</f>
        <v>1.1M</v>
      </c>
    </row>
    <row r="25" spans="1:5" ht="102" x14ac:dyDescent="0.2">
      <c r="A25" s="17" t="s">
        <v>159</v>
      </c>
      <c r="B25" s="17" t="s">
        <v>87</v>
      </c>
      <c r="C25" s="23" t="str">
        <f>'Overall Output. Labeled'!J11</f>
        <v>$523B</v>
      </c>
      <c r="D25" s="23" t="str">
        <f>'Overall Output. Labeled'!K11</f>
        <v>$23.3T</v>
      </c>
      <c r="E25" s="23" t="str">
        <f>'Overall Output. Labeled'!L11</f>
        <v>1.3M</v>
      </c>
    </row>
    <row r="26" spans="1:5" ht="16" customHeight="1" x14ac:dyDescent="0.2">
      <c r="A26" s="15" t="s">
        <v>76</v>
      </c>
      <c r="B26" s="38" t="s">
        <v>83</v>
      </c>
      <c r="C26" s="39" t="str">
        <f>'Overall Output. Labeled'!J12</f>
        <v>$18B</v>
      </c>
      <c r="D26" s="39" t="str">
        <f>'Overall Output. Labeled'!K12</f>
        <v>$2.0T</v>
      </c>
      <c r="E26" s="59" t="str">
        <f>'Overall Output. Labeled'!L12</f>
        <v>221k</v>
      </c>
    </row>
    <row r="27" spans="1:5" x14ac:dyDescent="0.2">
      <c r="A27" s="51" t="s">
        <v>92</v>
      </c>
      <c r="B27" s="51"/>
      <c r="C27" s="51"/>
      <c r="D27" s="51"/>
    </row>
    <row r="28" spans="1:5" x14ac:dyDescent="0.2">
      <c r="A28" s="52"/>
      <c r="B28" s="52"/>
      <c r="C28" s="52"/>
      <c r="D28" s="52"/>
    </row>
    <row r="29" spans="1:5" x14ac:dyDescent="0.2">
      <c r="A29" s="52"/>
      <c r="B29" s="52"/>
      <c r="C29" s="52"/>
      <c r="D29" s="52"/>
    </row>
    <row r="30" spans="1:5" x14ac:dyDescent="0.2">
      <c r="A30" s="52"/>
      <c r="B30" s="52"/>
      <c r="C30" s="52"/>
      <c r="D30" s="52"/>
    </row>
  </sheetData>
  <mergeCells count="4">
    <mergeCell ref="A5:D8"/>
    <mergeCell ref="A3:A4"/>
    <mergeCell ref="A16:D19"/>
    <mergeCell ref="A27:D30"/>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C3FE-A204-AE49-99DA-1874253EC6D1}">
  <dimension ref="A1:G19"/>
  <sheetViews>
    <sheetView workbookViewId="0">
      <selection activeCell="E2" sqref="E2"/>
    </sheetView>
  </sheetViews>
  <sheetFormatPr baseColWidth="10" defaultRowHeight="16" x14ac:dyDescent="0.2"/>
  <cols>
    <col min="1" max="1" width="12" customWidth="1"/>
    <col min="2" max="2" width="12.33203125" customWidth="1"/>
    <col min="3" max="3" width="12.1640625" customWidth="1"/>
    <col min="5" max="5" width="14.6640625" customWidth="1"/>
    <col min="6" max="6" width="14.83203125" customWidth="1"/>
    <col min="7" max="7" width="13" customWidth="1"/>
  </cols>
  <sheetData>
    <row r="1" spans="1:7" ht="21" x14ac:dyDescent="0.25">
      <c r="A1" s="14" t="s">
        <v>89</v>
      </c>
      <c r="B1" s="8"/>
      <c r="C1" s="8"/>
      <c r="D1" s="8"/>
      <c r="E1" s="8"/>
      <c r="F1" s="8"/>
      <c r="G1" s="8"/>
    </row>
    <row r="2" spans="1:7" ht="86" thickBot="1" x14ac:dyDescent="0.25">
      <c r="A2" s="10" t="s">
        <v>19</v>
      </c>
      <c r="B2" s="10" t="s">
        <v>20</v>
      </c>
      <c r="C2" s="10" t="s">
        <v>21</v>
      </c>
      <c r="D2" s="10" t="s">
        <v>30</v>
      </c>
      <c r="E2" s="10" t="s">
        <v>175</v>
      </c>
      <c r="F2" s="11" t="s">
        <v>23</v>
      </c>
      <c r="G2" s="12" t="s">
        <v>174</v>
      </c>
    </row>
    <row r="3" spans="1:7" ht="17" thickTop="1" x14ac:dyDescent="0.2">
      <c r="A3" s="20">
        <f>'Overall Output. Labeled'!F13</f>
        <v>1</v>
      </c>
      <c r="B3" s="20">
        <f>'Overall Output. Labeled'!G13</f>
        <v>1</v>
      </c>
      <c r="C3" s="20">
        <f>'Overall Output. Labeled'!H13</f>
        <v>1</v>
      </c>
      <c r="D3" s="20" t="str">
        <f>'Overall Output. Labeled'!I13</f>
        <v>40+</v>
      </c>
      <c r="E3" s="20" t="str">
        <f>'Overall Output. Labeled'!J13</f>
        <v>$408B</v>
      </c>
      <c r="F3" s="20" t="str">
        <f>'Overall Output. Labeled'!K13</f>
        <v>$27.1T</v>
      </c>
      <c r="G3" s="20" t="str">
        <f>'Overall Output. Labeled'!L13</f>
        <v>1.7M</v>
      </c>
    </row>
    <row r="4" spans="1:7" x14ac:dyDescent="0.2">
      <c r="A4" s="51" t="s">
        <v>65</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row r="10" spans="1:7" ht="21" x14ac:dyDescent="0.25">
      <c r="A10" s="14" t="s">
        <v>90</v>
      </c>
      <c r="B10" s="8"/>
      <c r="C10" s="8"/>
      <c r="D10" s="8"/>
      <c r="E10" s="8"/>
      <c r="F10" s="8"/>
      <c r="G10" s="8"/>
    </row>
    <row r="11" spans="1:7" ht="86" thickBot="1" x14ac:dyDescent="0.25">
      <c r="A11" s="10" t="s">
        <v>19</v>
      </c>
      <c r="B11" s="10" t="s">
        <v>20</v>
      </c>
      <c r="C11" s="10" t="s">
        <v>21</v>
      </c>
      <c r="D11" s="10" t="s">
        <v>30</v>
      </c>
      <c r="E11" s="10" t="s">
        <v>175</v>
      </c>
      <c r="F11" s="11" t="s">
        <v>23</v>
      </c>
      <c r="G11" s="12" t="s">
        <v>174</v>
      </c>
    </row>
    <row r="12" spans="1:7" ht="17" thickTop="1" x14ac:dyDescent="0.2">
      <c r="A12" s="16">
        <f>'Overall Output. Labeled'!F13</f>
        <v>1</v>
      </c>
      <c r="B12" s="16">
        <f>'Overall Output. Labeled'!G13</f>
        <v>1</v>
      </c>
      <c r="C12" s="16">
        <f>'Overall Output. Labeled'!H13</f>
        <v>1</v>
      </c>
      <c r="D12" s="16" t="str">
        <f>'Overall Output. Labeled'!I13</f>
        <v>40+</v>
      </c>
      <c r="E12" s="16" t="str">
        <f>'Overall Output. Labeled'!J13</f>
        <v>$408B</v>
      </c>
      <c r="F12" s="16" t="str">
        <f>'Overall Output. Labeled'!K13</f>
        <v>$27.1T</v>
      </c>
      <c r="G12" s="16" t="str">
        <f>'Overall Output. Labeled'!L13</f>
        <v>1.7M</v>
      </c>
    </row>
    <row r="13" spans="1:7" x14ac:dyDescent="0.2">
      <c r="A13" s="16">
        <f>'Overall Output. Labeled'!F14</f>
        <v>1</v>
      </c>
      <c r="B13" s="16">
        <f>'Overall Output. Labeled'!G14</f>
        <v>1</v>
      </c>
      <c r="C13" s="16">
        <f>'Overall Output. Labeled'!H14</f>
        <v>1</v>
      </c>
      <c r="D13" s="16" t="str">
        <f>'Overall Output. Labeled'!I14</f>
        <v>65+</v>
      </c>
      <c r="E13" s="16" t="str">
        <f>'Overall Output. Labeled'!J14</f>
        <v>$326B</v>
      </c>
      <c r="F13" s="16" t="str">
        <f>'Overall Output. Labeled'!K14</f>
        <v>$14.3T</v>
      </c>
      <c r="G13" s="16" t="str">
        <f>'Overall Output. Labeled'!L14</f>
        <v>1.2M</v>
      </c>
    </row>
    <row r="14" spans="1:7" x14ac:dyDescent="0.2">
      <c r="A14" s="16">
        <f>'Overall Output. Labeled'!F15</f>
        <v>5</v>
      </c>
      <c r="B14" s="16">
        <f>'Overall Output. Labeled'!G15</f>
        <v>5</v>
      </c>
      <c r="C14" s="16">
        <f>'Overall Output. Labeled'!H15</f>
        <v>5</v>
      </c>
      <c r="D14" s="16" t="str">
        <f>'Overall Output. Labeled'!I15</f>
        <v>40+</v>
      </c>
      <c r="E14" s="16" t="str">
        <f>'Overall Output. Labeled'!J15</f>
        <v>$2.0T</v>
      </c>
      <c r="F14" s="16" t="str">
        <f>'Overall Output. Labeled'!K15</f>
        <v>$101.9T</v>
      </c>
      <c r="G14" s="16" t="str">
        <f>'Overall Output. Labeled'!L15</f>
        <v>6.9M</v>
      </c>
    </row>
    <row r="15" spans="1:7" x14ac:dyDescent="0.2">
      <c r="A15" s="16">
        <f>'Overall Output. Labeled'!F16</f>
        <v>5</v>
      </c>
      <c r="B15" s="16">
        <f>'Overall Output. Labeled'!G16</f>
        <v>5</v>
      </c>
      <c r="C15" s="16">
        <f>'Overall Output. Labeled'!H16</f>
        <v>5</v>
      </c>
      <c r="D15" s="16" t="str">
        <f>'Overall Output. Labeled'!I16</f>
        <v>65+</v>
      </c>
      <c r="E15" s="16" t="str">
        <f>'Overall Output. Labeled'!J16</f>
        <v>$1.7T</v>
      </c>
      <c r="F15" s="16" t="str">
        <f>'Overall Output. Labeled'!K16</f>
        <v>$72.8T</v>
      </c>
      <c r="G15" s="16" t="str">
        <f>'Overall Output. Labeled'!L16</f>
        <v>5.6M</v>
      </c>
    </row>
    <row r="16" spans="1:7" x14ac:dyDescent="0.2">
      <c r="A16" s="51" t="s">
        <v>91</v>
      </c>
      <c r="B16" s="51"/>
      <c r="C16" s="51"/>
      <c r="D16" s="51"/>
      <c r="E16" s="51"/>
      <c r="F16" s="51"/>
      <c r="G16" s="51"/>
    </row>
    <row r="17" spans="1:7" x14ac:dyDescent="0.2">
      <c r="A17" s="52"/>
      <c r="B17" s="52"/>
      <c r="C17" s="52"/>
      <c r="D17" s="52"/>
      <c r="E17" s="52"/>
      <c r="F17" s="52"/>
      <c r="G17" s="52"/>
    </row>
    <row r="18" spans="1:7" x14ac:dyDescent="0.2">
      <c r="A18" s="52"/>
      <c r="B18" s="52"/>
      <c r="C18" s="52"/>
      <c r="D18" s="52"/>
      <c r="E18" s="52"/>
      <c r="F18" s="52"/>
      <c r="G18" s="52"/>
    </row>
    <row r="19" spans="1:7" x14ac:dyDescent="0.2">
      <c r="A19" s="52"/>
      <c r="B19" s="52"/>
      <c r="C19" s="52"/>
      <c r="D19" s="52"/>
      <c r="E19" s="52"/>
      <c r="F19" s="52"/>
      <c r="G19" s="52"/>
    </row>
  </sheetData>
  <mergeCells count="2">
    <mergeCell ref="A4:G7"/>
    <mergeCell ref="A16:G19"/>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0714-2345-F344-BE81-460481C6740C}">
  <dimension ref="A1:D21"/>
  <sheetViews>
    <sheetView workbookViewId="0">
      <selection activeCell="D14" sqref="A12:D14"/>
    </sheetView>
  </sheetViews>
  <sheetFormatPr baseColWidth="10" defaultRowHeight="16" x14ac:dyDescent="0.2"/>
  <cols>
    <col min="1" max="1" width="16.83203125" customWidth="1"/>
    <col min="2" max="2" width="11.6640625" customWidth="1"/>
    <col min="3" max="3" width="15.5" customWidth="1"/>
    <col min="4" max="4" width="17.5" customWidth="1"/>
  </cols>
  <sheetData>
    <row r="1" spans="1:4" ht="21" x14ac:dyDescent="0.25">
      <c r="A1" s="14" t="s">
        <v>127</v>
      </c>
      <c r="B1" s="8"/>
      <c r="C1" s="8"/>
      <c r="D1" s="8"/>
    </row>
    <row r="2" spans="1:4" ht="49" thickBot="1" x14ac:dyDescent="0.25">
      <c r="A2" s="10" t="s">
        <v>94</v>
      </c>
      <c r="B2" s="10" t="s">
        <v>95</v>
      </c>
      <c r="C2" s="11" t="s">
        <v>23</v>
      </c>
      <c r="D2" s="10" t="s">
        <v>41</v>
      </c>
    </row>
    <row r="3" spans="1:4" ht="40" customHeight="1" thickTop="1" x14ac:dyDescent="0.2">
      <c r="A3" s="18" t="s">
        <v>96</v>
      </c>
      <c r="B3" s="25">
        <v>1</v>
      </c>
      <c r="C3" s="16" t="str">
        <f>'Overall Output. Labeled'!K17</f>
        <v>$80T</v>
      </c>
      <c r="D3" s="26">
        <f>'Overall Output. Labeled'!N17</f>
        <v>3.5000000000000003E-2</v>
      </c>
    </row>
    <row r="4" spans="1:4" ht="40" customHeight="1" x14ac:dyDescent="0.2">
      <c r="A4" s="17" t="s">
        <v>97</v>
      </c>
      <c r="B4" s="46">
        <v>1</v>
      </c>
      <c r="C4" s="40" t="str">
        <f>'Overall Output. Labeled'!K18</f>
        <v>$83.6T</v>
      </c>
      <c r="D4" s="47">
        <f>'Overall Output. Labeled'!N18</f>
        <v>3.5000000000000003E-2</v>
      </c>
    </row>
    <row r="5" spans="1:4" x14ac:dyDescent="0.2">
      <c r="A5" s="51" t="s">
        <v>99</v>
      </c>
      <c r="B5" s="51"/>
      <c r="C5" s="51"/>
      <c r="D5" s="51"/>
    </row>
    <row r="6" spans="1:4" x14ac:dyDescent="0.2">
      <c r="A6" s="52"/>
      <c r="B6" s="52"/>
      <c r="C6" s="52"/>
      <c r="D6" s="52"/>
    </row>
    <row r="7" spans="1:4" x14ac:dyDescent="0.2">
      <c r="A7" s="52"/>
      <c r="B7" s="52"/>
      <c r="C7" s="52"/>
      <c r="D7" s="52"/>
    </row>
    <row r="8" spans="1:4" x14ac:dyDescent="0.2">
      <c r="A8" s="52"/>
      <c r="B8" s="52"/>
      <c r="C8" s="52"/>
      <c r="D8" s="52"/>
    </row>
    <row r="11" spans="1:4" ht="21" x14ac:dyDescent="0.25">
      <c r="A11" s="14" t="s">
        <v>93</v>
      </c>
      <c r="B11" s="8"/>
      <c r="C11" s="8"/>
      <c r="D11" s="8"/>
    </row>
    <row r="12" spans="1:4" ht="49" thickBot="1" x14ac:dyDescent="0.25">
      <c r="A12" s="10" t="s">
        <v>94</v>
      </c>
      <c r="B12" s="10" t="s">
        <v>95</v>
      </c>
      <c r="C12" s="11" t="s">
        <v>23</v>
      </c>
      <c r="D12" s="10" t="s">
        <v>101</v>
      </c>
    </row>
    <row r="13" spans="1:4" ht="68" customHeight="1" thickTop="1" x14ac:dyDescent="0.2">
      <c r="A13" s="18" t="s">
        <v>100</v>
      </c>
      <c r="B13" s="25">
        <v>1</v>
      </c>
      <c r="C13" s="16" t="str">
        <f>'Overall Output. Labeled'!K19</f>
        <v>$36.0T</v>
      </c>
      <c r="D13" s="28" t="s">
        <v>102</v>
      </c>
    </row>
    <row r="14" spans="1:4" ht="68" x14ac:dyDescent="0.2">
      <c r="A14" s="17" t="s">
        <v>44</v>
      </c>
      <c r="B14" s="46">
        <v>1</v>
      </c>
      <c r="C14" s="40" t="str">
        <f>'Overall Output. Labeled'!K20</f>
        <v>$38.4T</v>
      </c>
      <c r="D14" s="48" t="s">
        <v>103</v>
      </c>
    </row>
    <row r="15" spans="1:4" ht="16" customHeight="1" x14ac:dyDescent="0.2">
      <c r="A15" s="51" t="s">
        <v>160</v>
      </c>
      <c r="B15" s="51"/>
      <c r="C15" s="51"/>
      <c r="D15" s="51"/>
    </row>
    <row r="16" spans="1:4" x14ac:dyDescent="0.2">
      <c r="A16" s="52"/>
      <c r="B16" s="52"/>
      <c r="C16" s="52"/>
      <c r="D16" s="52"/>
    </row>
    <row r="17" spans="1:4" x14ac:dyDescent="0.2">
      <c r="A17" s="52"/>
      <c r="B17" s="52"/>
      <c r="C17" s="52"/>
      <c r="D17" s="52"/>
    </row>
    <row r="18" spans="1:4" x14ac:dyDescent="0.2">
      <c r="A18" s="52"/>
      <c r="B18" s="52"/>
      <c r="C18" s="52"/>
      <c r="D18" s="52"/>
    </row>
    <row r="19" spans="1:4" x14ac:dyDescent="0.2">
      <c r="A19" s="52"/>
      <c r="B19" s="52"/>
      <c r="C19" s="52"/>
      <c r="D19" s="52"/>
    </row>
    <row r="20" spans="1:4" x14ac:dyDescent="0.2">
      <c r="A20" s="27"/>
      <c r="B20" s="27"/>
      <c r="C20" s="27"/>
      <c r="D20" s="27"/>
    </row>
    <row r="21" spans="1:4" x14ac:dyDescent="0.2">
      <c r="A21" s="27"/>
      <c r="B21" s="27"/>
      <c r="C21" s="27"/>
      <c r="D21" s="27"/>
    </row>
  </sheetData>
  <mergeCells count="2">
    <mergeCell ref="A5:D8"/>
    <mergeCell ref="A15:D19"/>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55BF-51B4-2442-9E53-BFAB3B95E8BC}">
  <dimension ref="A1:D28"/>
  <sheetViews>
    <sheetView workbookViewId="0">
      <selection activeCell="A22" sqref="A16:C26"/>
    </sheetView>
  </sheetViews>
  <sheetFormatPr baseColWidth="10" defaultRowHeight="16" x14ac:dyDescent="0.2"/>
  <cols>
    <col min="1" max="1" width="17.5" customWidth="1"/>
    <col min="2" max="2" width="16.6640625" customWidth="1"/>
    <col min="3" max="3" width="18" customWidth="1"/>
  </cols>
  <sheetData>
    <row r="1" spans="1:4" ht="21" x14ac:dyDescent="0.25">
      <c r="A1" s="14" t="s">
        <v>104</v>
      </c>
      <c r="B1" s="8"/>
      <c r="C1" s="8"/>
      <c r="D1" s="8"/>
    </row>
    <row r="2" spans="1:4" ht="52" thickBot="1" x14ac:dyDescent="0.25">
      <c r="A2" s="10" t="s">
        <v>105</v>
      </c>
      <c r="B2" s="10" t="s">
        <v>175</v>
      </c>
      <c r="C2" s="11" t="s">
        <v>23</v>
      </c>
      <c r="D2" s="10" t="s">
        <v>41</v>
      </c>
    </row>
    <row r="3" spans="1:4" ht="54" customHeight="1" thickTop="1" x14ac:dyDescent="0.2">
      <c r="A3" s="18" t="s">
        <v>106</v>
      </c>
      <c r="B3" s="30" t="str">
        <f>'Overall Output. Labeled'!J21</f>
        <v>$857B</v>
      </c>
      <c r="C3" s="30" t="str">
        <f>'Overall Output. Labeled'!K21</f>
        <v>$47.1T</v>
      </c>
      <c r="D3" s="28">
        <f>'Overall Output. Labeled'!N21</f>
        <v>0.02</v>
      </c>
    </row>
    <row r="4" spans="1:4" ht="54" customHeight="1" x14ac:dyDescent="0.2">
      <c r="A4" s="18" t="s">
        <v>129</v>
      </c>
      <c r="B4" s="30" t="s">
        <v>111</v>
      </c>
      <c r="C4" s="30" t="str">
        <f>'Overall Output. Labeled'!K22</f>
        <v>$46.8T</v>
      </c>
      <c r="D4" s="28">
        <f>'Overall Output. Labeled'!N22</f>
        <v>0.02</v>
      </c>
    </row>
    <row r="5" spans="1:4" ht="55" customHeight="1" x14ac:dyDescent="0.2">
      <c r="A5" s="18" t="s">
        <v>110</v>
      </c>
      <c r="B5" s="30" t="str">
        <f>'Overall Output. Labeled'!J23</f>
        <v>$857B</v>
      </c>
      <c r="C5" s="30" t="str">
        <f>'Overall Output. Labeled'!K23</f>
        <v>$28.4T</v>
      </c>
      <c r="D5" s="28">
        <f>'Overall Output. Labeled'!N23</f>
        <v>0.02</v>
      </c>
    </row>
    <row r="6" spans="1:4" ht="16" customHeight="1" x14ac:dyDescent="0.2">
      <c r="A6" s="51" t="s">
        <v>161</v>
      </c>
      <c r="B6" s="51"/>
      <c r="C6" s="51"/>
      <c r="D6" s="51"/>
    </row>
    <row r="7" spans="1:4" x14ac:dyDescent="0.2">
      <c r="A7" s="52"/>
      <c r="B7" s="52"/>
      <c r="C7" s="52"/>
      <c r="D7" s="52"/>
    </row>
    <row r="8" spans="1:4" x14ac:dyDescent="0.2">
      <c r="A8" s="52"/>
      <c r="B8" s="52"/>
      <c r="C8" s="52"/>
      <c r="D8" s="52"/>
    </row>
    <row r="9" spans="1:4" x14ac:dyDescent="0.2">
      <c r="A9" s="52"/>
      <c r="B9" s="52"/>
      <c r="C9" s="52"/>
      <c r="D9" s="52"/>
    </row>
    <row r="10" spans="1:4" x14ac:dyDescent="0.2">
      <c r="A10" s="52"/>
      <c r="B10" s="52"/>
      <c r="C10" s="52"/>
      <c r="D10" s="52"/>
    </row>
    <row r="11" spans="1:4" x14ac:dyDescent="0.2">
      <c r="A11" s="52"/>
      <c r="B11" s="52"/>
      <c r="C11" s="52"/>
      <c r="D11" s="52"/>
    </row>
    <row r="12" spans="1:4" x14ac:dyDescent="0.2">
      <c r="A12" s="27"/>
      <c r="B12" s="27"/>
      <c r="C12" s="27"/>
      <c r="D12" s="27"/>
    </row>
    <row r="15" spans="1:4" x14ac:dyDescent="0.2">
      <c r="A15" t="s">
        <v>117</v>
      </c>
    </row>
    <row r="16" spans="1:4" ht="49" thickBot="1" x14ac:dyDescent="0.25">
      <c r="A16" s="10" t="s">
        <v>13</v>
      </c>
      <c r="B16" s="11" t="s">
        <v>23</v>
      </c>
      <c r="C16" s="11" t="s">
        <v>162</v>
      </c>
    </row>
    <row r="17" spans="1:4" ht="35" thickTop="1" x14ac:dyDescent="0.2">
      <c r="A17" s="18" t="s">
        <v>112</v>
      </c>
      <c r="B17" s="30" t="str">
        <f>'Overall Output. Labeled'!K7</f>
        <v>$2.4T</v>
      </c>
      <c r="C17" s="30" t="str">
        <f>'Overall Output. Labeled'!M7</f>
        <v>-$19.85</v>
      </c>
    </row>
    <row r="18" spans="1:4" ht="34" x14ac:dyDescent="0.2">
      <c r="A18" s="18" t="s">
        <v>113</v>
      </c>
      <c r="B18" s="30" t="str">
        <f>'Overall Output. Labeled'!K3</f>
        <v>$8.9T</v>
      </c>
      <c r="C18" s="30" t="str">
        <f>'Overall Output. Labeled'!M3</f>
        <v>$507.82</v>
      </c>
    </row>
    <row r="19" spans="1:4" ht="34" x14ac:dyDescent="0.2">
      <c r="A19" s="18" t="s">
        <v>114</v>
      </c>
      <c r="B19" s="30" t="str">
        <f>'Overall Output. Labeled'!K4</f>
        <v>$9.3T</v>
      </c>
      <c r="C19" s="30" t="str">
        <f>'Overall Output. Labeled'!M4</f>
        <v>-$5.25</v>
      </c>
    </row>
    <row r="20" spans="1:4" ht="51" x14ac:dyDescent="0.2">
      <c r="A20" s="18" t="s">
        <v>115</v>
      </c>
      <c r="B20" s="30" t="str">
        <f>'Overall Output. Labeled'!K5</f>
        <v>$6.8T</v>
      </c>
      <c r="C20" s="30" t="str">
        <f>'Overall Output. Labeled'!M5</f>
        <v>-$436.88</v>
      </c>
    </row>
    <row r="21" spans="1:4" ht="51" x14ac:dyDescent="0.2">
      <c r="A21" s="18" t="s">
        <v>116</v>
      </c>
      <c r="B21" s="30" t="str">
        <f>'Overall Output. Labeled'!K13</f>
        <v>$27.1T</v>
      </c>
      <c r="C21" s="30" t="str">
        <f>'Overall Output. Labeled'!M13</f>
        <v>$425.39</v>
      </c>
    </row>
    <row r="22" spans="1:4" ht="16" customHeight="1" x14ac:dyDescent="0.2">
      <c r="A22" s="51" t="s">
        <v>163</v>
      </c>
      <c r="B22" s="51"/>
      <c r="C22" s="51"/>
      <c r="D22" s="27"/>
    </row>
    <row r="23" spans="1:4" x14ac:dyDescent="0.2">
      <c r="A23" s="52"/>
      <c r="B23" s="52"/>
      <c r="C23" s="52"/>
      <c r="D23" s="27"/>
    </row>
    <row r="24" spans="1:4" x14ac:dyDescent="0.2">
      <c r="A24" s="52"/>
      <c r="B24" s="52"/>
      <c r="C24" s="52"/>
      <c r="D24" s="27"/>
    </row>
    <row r="25" spans="1:4" x14ac:dyDescent="0.2">
      <c r="A25" s="52"/>
      <c r="B25" s="52"/>
      <c r="C25" s="52"/>
      <c r="D25" s="27"/>
    </row>
    <row r="26" spans="1:4" x14ac:dyDescent="0.2">
      <c r="A26" s="52"/>
      <c r="B26" s="52"/>
      <c r="C26" s="52"/>
      <c r="D26" s="27"/>
    </row>
    <row r="27" spans="1:4" x14ac:dyDescent="0.2">
      <c r="A27" s="27"/>
      <c r="B27" s="27"/>
      <c r="C27" s="27"/>
      <c r="D27" s="27"/>
    </row>
    <row r="28" spans="1:4" x14ac:dyDescent="0.2">
      <c r="A28" s="27"/>
      <c r="B28" s="27"/>
      <c r="C28" s="27"/>
      <c r="D28" s="27"/>
    </row>
  </sheetData>
  <mergeCells count="2">
    <mergeCell ref="A6:D11"/>
    <mergeCell ref="A22:C26"/>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700FC-CE9A-A042-9551-D2134EA1CC89}">
  <dimension ref="A1:N46"/>
  <sheetViews>
    <sheetView topLeftCell="A24" workbookViewId="0">
      <selection activeCell="F18" sqref="A14:F18"/>
    </sheetView>
  </sheetViews>
  <sheetFormatPr baseColWidth="10" defaultRowHeight="16" x14ac:dyDescent="0.2"/>
  <cols>
    <col min="1" max="1" width="11.83203125" customWidth="1"/>
    <col min="2" max="2" width="12.33203125" customWidth="1"/>
    <col min="3" max="3" width="11.6640625" customWidth="1"/>
    <col min="4" max="4" width="15.6640625" customWidth="1"/>
    <col min="5" max="5" width="15.5" customWidth="1"/>
    <col min="6" max="6" width="13.5" customWidth="1"/>
  </cols>
  <sheetData>
    <row r="1" spans="1:6" ht="21" x14ac:dyDescent="0.25">
      <c r="A1" s="14" t="s">
        <v>118</v>
      </c>
      <c r="B1" s="8"/>
      <c r="C1" s="8"/>
      <c r="D1" s="8"/>
      <c r="E1" s="8"/>
      <c r="F1" s="8"/>
    </row>
    <row r="2" spans="1:6" ht="63" customHeight="1" thickBot="1" x14ac:dyDescent="0.25">
      <c r="A2" s="10" t="s">
        <v>19</v>
      </c>
      <c r="B2" s="10" t="s">
        <v>20</v>
      </c>
      <c r="C2" s="10" t="s">
        <v>21</v>
      </c>
      <c r="D2" s="10" t="s">
        <v>175</v>
      </c>
      <c r="E2" s="11" t="s">
        <v>23</v>
      </c>
      <c r="F2" s="12" t="s">
        <v>174</v>
      </c>
    </row>
    <row r="3" spans="1:6" ht="17" thickTop="1" x14ac:dyDescent="0.2">
      <c r="A3" s="16">
        <v>1</v>
      </c>
      <c r="B3" s="16">
        <v>0</v>
      </c>
      <c r="C3" s="16">
        <v>0</v>
      </c>
      <c r="D3" s="16" t="str">
        <f>'Overall Output. Labeled'!J24</f>
        <v>$137B</v>
      </c>
      <c r="E3" s="16" t="str">
        <f>'Overall Output. Labeled'!K24</f>
        <v>$7.8T</v>
      </c>
      <c r="F3" s="16" t="str">
        <f>'Overall Output. Labeled'!L24</f>
        <v>1.4M</v>
      </c>
    </row>
    <row r="4" spans="1:6" x14ac:dyDescent="0.2">
      <c r="A4" s="16">
        <v>0</v>
      </c>
      <c r="B4" s="16">
        <v>1</v>
      </c>
      <c r="C4" s="16">
        <v>0</v>
      </c>
      <c r="D4" s="16" t="str">
        <f>'Overall Output. Labeled'!J25</f>
        <v>$252B</v>
      </c>
      <c r="E4" s="16" t="str">
        <f>'Overall Output. Labeled'!K25</f>
        <v>$10.6T</v>
      </c>
      <c r="F4" s="16" t="s">
        <v>164</v>
      </c>
    </row>
    <row r="5" spans="1:6" x14ac:dyDescent="0.2">
      <c r="A5" s="16">
        <v>0</v>
      </c>
      <c r="B5" s="16">
        <v>0</v>
      </c>
      <c r="C5" s="16">
        <v>1</v>
      </c>
      <c r="D5" s="16" t="str">
        <f>'Overall Output. Labeled'!J26</f>
        <v>-$21B</v>
      </c>
      <c r="E5" s="16" t="str">
        <f>'Overall Output. Labeled'!K26</f>
        <v>$8.0T</v>
      </c>
      <c r="F5" s="16" t="s">
        <v>164</v>
      </c>
    </row>
    <row r="6" spans="1:6" x14ac:dyDescent="0.2">
      <c r="A6" s="16">
        <v>1</v>
      </c>
      <c r="B6" s="16">
        <v>1</v>
      </c>
      <c r="C6" s="16">
        <v>1</v>
      </c>
      <c r="D6" s="16" t="str">
        <f>'Overall Output. Labeled'!J13</f>
        <v>$408B</v>
      </c>
      <c r="E6" s="16" t="str">
        <f>'Overall Output. Labeled'!K13</f>
        <v>$27.1T</v>
      </c>
      <c r="F6" s="16" t="str">
        <f>'Overall Output. Labeled'!L13</f>
        <v>1.7M</v>
      </c>
    </row>
    <row r="7" spans="1:6" x14ac:dyDescent="0.2">
      <c r="A7" s="51" t="s">
        <v>166</v>
      </c>
      <c r="B7" s="51"/>
      <c r="C7" s="51"/>
      <c r="D7" s="51"/>
      <c r="E7" s="51"/>
      <c r="F7" s="51"/>
    </row>
    <row r="8" spans="1:6" x14ac:dyDescent="0.2">
      <c r="A8" s="52"/>
      <c r="B8" s="52"/>
      <c r="C8" s="52"/>
      <c r="D8" s="52"/>
      <c r="E8" s="52"/>
      <c r="F8" s="52"/>
    </row>
    <row r="9" spans="1:6" x14ac:dyDescent="0.2">
      <c r="A9" s="52"/>
      <c r="B9" s="52"/>
      <c r="C9" s="52"/>
      <c r="D9" s="52"/>
      <c r="E9" s="52"/>
      <c r="F9" s="52"/>
    </row>
    <row r="10" spans="1:6" x14ac:dyDescent="0.2">
      <c r="A10" s="52"/>
      <c r="B10" s="52"/>
      <c r="C10" s="52"/>
      <c r="D10" s="52"/>
      <c r="E10" s="52"/>
      <c r="F10" s="52"/>
    </row>
    <row r="13" spans="1:6" ht="21" x14ac:dyDescent="0.25">
      <c r="A13" s="14" t="s">
        <v>119</v>
      </c>
      <c r="B13" s="8"/>
      <c r="C13" s="8"/>
      <c r="D13" s="8"/>
      <c r="E13" s="8"/>
      <c r="F13" s="8"/>
    </row>
    <row r="14" spans="1:6" ht="67" customHeight="1" thickBot="1" x14ac:dyDescent="0.25">
      <c r="A14" s="10" t="s">
        <v>120</v>
      </c>
      <c r="B14" s="10" t="s">
        <v>121</v>
      </c>
      <c r="C14" s="10" t="s">
        <v>122</v>
      </c>
      <c r="D14" s="10" t="s">
        <v>175</v>
      </c>
      <c r="E14" s="11" t="s">
        <v>23</v>
      </c>
      <c r="F14" s="12" t="s">
        <v>174</v>
      </c>
    </row>
    <row r="15" spans="1:6" ht="17" thickTop="1" x14ac:dyDescent="0.2">
      <c r="A15" s="25">
        <v>0.01</v>
      </c>
      <c r="B15" s="16">
        <v>0</v>
      </c>
      <c r="C15" s="16">
        <v>0</v>
      </c>
      <c r="D15" s="16" t="str">
        <f>'Overall Output. Labeled'!J27</f>
        <v>$22B</v>
      </c>
      <c r="E15" s="16" t="str">
        <f>'Overall Output. Labeled'!K27</f>
        <v>$1.8T</v>
      </c>
      <c r="F15" s="16" t="str">
        <f>'Overall Output. Labeled'!L27</f>
        <v>349k</v>
      </c>
    </row>
    <row r="16" spans="1:6" x14ac:dyDescent="0.2">
      <c r="A16" s="16">
        <v>0</v>
      </c>
      <c r="B16" s="25">
        <v>0.01</v>
      </c>
      <c r="C16" s="16">
        <v>0</v>
      </c>
      <c r="D16" s="16" t="str">
        <f>'Overall Output. Labeled'!J28</f>
        <v>$236B</v>
      </c>
      <c r="E16" s="16" t="str">
        <f>'Overall Output. Labeled'!K28</f>
        <v>$9.9T</v>
      </c>
      <c r="F16" s="16" t="s">
        <v>164</v>
      </c>
    </row>
    <row r="17" spans="1:14" x14ac:dyDescent="0.2">
      <c r="A17" s="16">
        <v>0</v>
      </c>
      <c r="B17" s="16">
        <v>0</v>
      </c>
      <c r="C17" s="25">
        <v>0.01</v>
      </c>
      <c r="D17" s="16" t="str">
        <f>'Overall Output. Labeled'!J29</f>
        <v>-$21B</v>
      </c>
      <c r="E17" s="16" t="str">
        <f>'Overall Output. Labeled'!K29</f>
        <v>$8.7T</v>
      </c>
      <c r="F17" s="16" t="s">
        <v>164</v>
      </c>
    </row>
    <row r="18" spans="1:14" x14ac:dyDescent="0.2">
      <c r="A18" s="25">
        <v>0.01</v>
      </c>
      <c r="B18" s="25">
        <v>0.01</v>
      </c>
      <c r="C18" s="25">
        <v>0.01</v>
      </c>
      <c r="D18" s="16" t="str">
        <f>'Overall Output. Labeled'!J30</f>
        <v>$274B</v>
      </c>
      <c r="E18" s="16" t="str">
        <f>'Overall Output. Labeled'!K30</f>
        <v>$21.0T</v>
      </c>
      <c r="F18" s="16" t="str">
        <f>'Overall Output. Labeled'!L30</f>
        <v>743k</v>
      </c>
    </row>
    <row r="19" spans="1:14" x14ac:dyDescent="0.2">
      <c r="A19" s="51" t="s">
        <v>165</v>
      </c>
      <c r="B19" s="51"/>
      <c r="C19" s="51"/>
      <c r="D19" s="51"/>
      <c r="E19" s="51"/>
      <c r="F19" s="51"/>
    </row>
    <row r="20" spans="1:14" x14ac:dyDescent="0.2">
      <c r="A20" s="52"/>
      <c r="B20" s="52"/>
      <c r="C20" s="52"/>
      <c r="D20" s="52"/>
      <c r="E20" s="52"/>
      <c r="F20" s="52"/>
    </row>
    <row r="21" spans="1:14" x14ac:dyDescent="0.2">
      <c r="A21" s="52"/>
      <c r="B21" s="52"/>
      <c r="C21" s="52"/>
      <c r="D21" s="52"/>
      <c r="E21" s="52"/>
      <c r="F21" s="52"/>
    </row>
    <row r="22" spans="1:14" x14ac:dyDescent="0.2">
      <c r="A22" s="52"/>
      <c r="B22" s="52"/>
      <c r="C22" s="52"/>
      <c r="D22" s="52"/>
      <c r="E22" s="52"/>
      <c r="F22" s="52"/>
    </row>
    <row r="23" spans="1:14" x14ac:dyDescent="0.2">
      <c r="A23" s="13"/>
      <c r="B23" s="13"/>
      <c r="C23" s="13"/>
      <c r="D23" s="13"/>
      <c r="E23" s="13"/>
      <c r="F23" s="13"/>
    </row>
    <row r="25" spans="1:14" ht="21" x14ac:dyDescent="0.25">
      <c r="A25" s="14" t="s">
        <v>123</v>
      </c>
      <c r="I25" s="14" t="s">
        <v>151</v>
      </c>
    </row>
    <row r="26" spans="1:14" ht="81" customHeight="1" thickBot="1" x14ac:dyDescent="0.25">
      <c r="A26" s="10" t="s">
        <v>41</v>
      </c>
      <c r="B26" s="55" t="s">
        <v>23</v>
      </c>
      <c r="C26" s="55"/>
      <c r="I26" s="10" t="s">
        <v>41</v>
      </c>
      <c r="J26" s="45" t="s">
        <v>152</v>
      </c>
      <c r="K26" s="45" t="s">
        <v>153</v>
      </c>
      <c r="L26" s="45" t="s">
        <v>154</v>
      </c>
      <c r="M26" s="45" t="s">
        <v>155</v>
      </c>
      <c r="N26" s="45" t="s">
        <v>156</v>
      </c>
    </row>
    <row r="27" spans="1:14" ht="17" thickTop="1" x14ac:dyDescent="0.2">
      <c r="A27" s="25">
        <v>0.01</v>
      </c>
      <c r="B27" s="56" t="str">
        <f>'Overall Output. Labeled'!K31</f>
        <v>$53.3T</v>
      </c>
      <c r="C27" s="56"/>
      <c r="I27" s="25">
        <v>0.01</v>
      </c>
      <c r="J27" s="8" t="str">
        <f>'Overall Output. Labeled'!K53</f>
        <v>$16.1T</v>
      </c>
      <c r="K27" s="8" t="str">
        <f>'Overall Output. Labeled'!K57</f>
        <v>$19.5T</v>
      </c>
      <c r="L27" s="8" t="str">
        <f>'Overall Output. Labeled'!K49</f>
        <v>$53.3T</v>
      </c>
      <c r="M27" s="8" t="str">
        <f>'Overall Output. Labeled'!K61</f>
        <v>$26.0T</v>
      </c>
      <c r="N27" s="8" t="str">
        <f>'Overall Output. Labeled'!K65</f>
        <v>$4.3T</v>
      </c>
    </row>
    <row r="28" spans="1:14" x14ac:dyDescent="0.2">
      <c r="A28" s="25">
        <v>0.02</v>
      </c>
      <c r="B28" s="57" t="str">
        <f>'Overall Output. Labeled'!K13</f>
        <v>$27.1T</v>
      </c>
      <c r="C28" s="57"/>
      <c r="I28" s="25">
        <v>0.02</v>
      </c>
      <c r="J28" s="8" t="str">
        <f>'Overall Output. Labeled'!K54</f>
        <v>$8.9T</v>
      </c>
      <c r="K28" s="8" t="str">
        <f>'Overall Output. Labeled'!K58</f>
        <v>$8.6T</v>
      </c>
      <c r="L28" s="8" t="str">
        <f>'Overall Output. Labeled'!K50</f>
        <v>$27.1T</v>
      </c>
      <c r="M28" s="8" t="str">
        <f>'Overall Output. Labeled'!K62</f>
        <v>$14.3T</v>
      </c>
      <c r="N28" s="8" t="str">
        <f>'Overall Output. Labeled'!K66</f>
        <v>$2.4T</v>
      </c>
    </row>
    <row r="29" spans="1:14" x14ac:dyDescent="0.2">
      <c r="A29" s="25">
        <v>0.03</v>
      </c>
      <c r="B29" s="57" t="str">
        <f>'Overall Output. Labeled'!K32</f>
        <v>$14.6T</v>
      </c>
      <c r="C29" s="57"/>
      <c r="I29" s="25">
        <v>0.03</v>
      </c>
      <c r="J29" s="8" t="str">
        <f>'Overall Output. Labeled'!K55</f>
        <v>$5.2T</v>
      </c>
      <c r="K29" s="8" t="str">
        <f>'Overall Output. Labeled'!K59</f>
        <v>$3.9T</v>
      </c>
      <c r="L29" s="8" t="str">
        <f>'Overall Output. Labeled'!K51</f>
        <v>$14.6T</v>
      </c>
      <c r="M29" s="8" t="str">
        <f>'Overall Output. Labeled'!K63</f>
        <v>$8.4T</v>
      </c>
      <c r="N29" s="8" t="str">
        <f>'Overall Output. Labeled'!K67</f>
        <v>$1.5T</v>
      </c>
    </row>
    <row r="30" spans="1:14" x14ac:dyDescent="0.2">
      <c r="A30" s="25">
        <v>0.04</v>
      </c>
      <c r="B30" s="57" t="str">
        <f>'Overall Output. Labeled'!K33</f>
        <v>$8.3T</v>
      </c>
      <c r="C30" s="57"/>
      <c r="I30" s="46">
        <v>0.04</v>
      </c>
      <c r="J30" s="42" t="str">
        <f>'Overall Output. Labeled'!K56</f>
        <v>$3.2T</v>
      </c>
      <c r="K30" s="42" t="str">
        <f>'Overall Output. Labeled'!K60</f>
        <v>$1.8T</v>
      </c>
      <c r="L30" s="42" t="str">
        <f>'Overall Output. Labeled'!K52</f>
        <v>$8.3T</v>
      </c>
      <c r="M30" s="42" t="str">
        <f>'Overall Output. Labeled'!K64</f>
        <v>$5.2T</v>
      </c>
      <c r="N30" s="42" t="str">
        <f>'Overall Output. Labeled'!K68</f>
        <v>$.9T</v>
      </c>
    </row>
    <row r="31" spans="1:14" ht="16" customHeight="1" x14ac:dyDescent="0.2">
      <c r="A31" s="25">
        <v>0.05</v>
      </c>
      <c r="B31" s="57" t="str">
        <f>'Overall Output. Labeled'!K34</f>
        <v>$5.0T</v>
      </c>
      <c r="C31" s="57"/>
      <c r="I31" s="51" t="s">
        <v>158</v>
      </c>
      <c r="J31" s="51"/>
      <c r="K31" s="51"/>
      <c r="L31" s="51"/>
      <c r="M31" s="51"/>
      <c r="N31" s="51"/>
    </row>
    <row r="32" spans="1:14" ht="16" customHeight="1" x14ac:dyDescent="0.2">
      <c r="A32" s="51" t="s">
        <v>157</v>
      </c>
      <c r="B32" s="51"/>
      <c r="C32" s="51"/>
      <c r="D32" s="27"/>
      <c r="E32" s="27"/>
      <c r="F32" s="27"/>
      <c r="I32" s="52"/>
      <c r="J32" s="52"/>
      <c r="K32" s="52"/>
      <c r="L32" s="52"/>
      <c r="M32" s="52"/>
      <c r="N32" s="52"/>
    </row>
    <row r="33" spans="1:14" x14ac:dyDescent="0.2">
      <c r="A33" s="52"/>
      <c r="B33" s="52"/>
      <c r="C33" s="52"/>
      <c r="D33" s="27"/>
      <c r="E33" s="27"/>
      <c r="F33" s="27"/>
      <c r="I33" s="52"/>
      <c r="J33" s="52"/>
      <c r="K33" s="52"/>
      <c r="L33" s="52"/>
      <c r="M33" s="52"/>
      <c r="N33" s="52"/>
    </row>
    <row r="34" spans="1:14" x14ac:dyDescent="0.2">
      <c r="A34" s="52"/>
      <c r="B34" s="52"/>
      <c r="C34" s="52"/>
      <c r="D34" s="27"/>
      <c r="E34" s="27"/>
      <c r="F34" s="27"/>
      <c r="I34" s="52"/>
      <c r="J34" s="52"/>
      <c r="K34" s="52"/>
      <c r="L34" s="52"/>
      <c r="M34" s="52"/>
      <c r="N34" s="52"/>
    </row>
    <row r="35" spans="1:14" x14ac:dyDescent="0.2">
      <c r="A35" s="52"/>
      <c r="B35" s="52"/>
      <c r="C35" s="52"/>
      <c r="D35" s="27"/>
      <c r="E35" s="27"/>
      <c r="F35" s="27"/>
      <c r="I35" s="52"/>
      <c r="J35" s="52"/>
      <c r="K35" s="52"/>
      <c r="L35" s="52"/>
      <c r="M35" s="52"/>
      <c r="N35" s="52"/>
    </row>
    <row r="36" spans="1:14" x14ac:dyDescent="0.2">
      <c r="A36" s="52"/>
      <c r="B36" s="52"/>
      <c r="C36" s="52"/>
      <c r="I36" s="52"/>
      <c r="J36" s="52"/>
      <c r="K36" s="52"/>
      <c r="L36" s="52"/>
      <c r="M36" s="52"/>
      <c r="N36" s="52"/>
    </row>
    <row r="37" spans="1:14" x14ac:dyDescent="0.2">
      <c r="A37" s="27"/>
      <c r="B37" s="27"/>
      <c r="C37" s="27"/>
      <c r="I37" s="52"/>
      <c r="J37" s="52"/>
      <c r="K37" s="52"/>
      <c r="L37" s="52"/>
      <c r="M37" s="52"/>
      <c r="N37" s="52"/>
    </row>
    <row r="38" spans="1:14" x14ac:dyDescent="0.2">
      <c r="A38" s="27"/>
      <c r="B38" s="27"/>
      <c r="C38" s="27"/>
      <c r="I38" s="52"/>
      <c r="J38" s="52"/>
      <c r="K38" s="52"/>
      <c r="L38" s="52"/>
      <c r="M38" s="52"/>
      <c r="N38" s="52"/>
    </row>
    <row r="39" spans="1:14" x14ac:dyDescent="0.2">
      <c r="A39" s="27"/>
      <c r="B39" s="27"/>
      <c r="C39" s="27"/>
      <c r="I39" s="52"/>
      <c r="J39" s="52"/>
      <c r="K39" s="52"/>
      <c r="L39" s="52"/>
      <c r="M39" s="52"/>
      <c r="N39" s="52"/>
    </row>
    <row r="40" spans="1:14" x14ac:dyDescent="0.2">
      <c r="A40" s="27"/>
      <c r="B40" s="27"/>
      <c r="C40" s="27"/>
    </row>
    <row r="42" spans="1:14" ht="97" thickBot="1" x14ac:dyDescent="0.25">
      <c r="I42" s="10" t="s">
        <v>41</v>
      </c>
      <c r="J42" s="45" t="s">
        <v>152</v>
      </c>
      <c r="K42" s="45" t="s">
        <v>153</v>
      </c>
      <c r="L42" s="45" t="s">
        <v>154</v>
      </c>
      <c r="M42" s="45" t="s">
        <v>155</v>
      </c>
      <c r="N42" s="45" t="s">
        <v>156</v>
      </c>
    </row>
    <row r="43" spans="1:14" ht="17" thickTop="1" x14ac:dyDescent="0.2">
      <c r="I43" s="25">
        <v>0.01</v>
      </c>
      <c r="J43" s="8">
        <v>16.5</v>
      </c>
      <c r="K43" s="8">
        <v>19.100000000000001</v>
      </c>
      <c r="L43" s="8">
        <v>42.5</v>
      </c>
      <c r="M43" s="8">
        <v>26.8</v>
      </c>
      <c r="N43" s="8">
        <v>4.7</v>
      </c>
    </row>
    <row r="44" spans="1:14" x14ac:dyDescent="0.2">
      <c r="I44" s="25">
        <v>0.02</v>
      </c>
      <c r="J44" s="8">
        <v>9.1</v>
      </c>
      <c r="K44" s="8">
        <v>8.5</v>
      </c>
      <c r="L44" s="8">
        <v>22.5</v>
      </c>
      <c r="M44" s="8">
        <v>14.8</v>
      </c>
      <c r="N44" s="8">
        <v>2.7</v>
      </c>
    </row>
    <row r="45" spans="1:14" x14ac:dyDescent="0.2">
      <c r="I45" s="25">
        <v>0.03</v>
      </c>
      <c r="J45" s="8">
        <v>5.4</v>
      </c>
      <c r="K45" s="8">
        <v>3.9</v>
      </c>
      <c r="L45" s="8">
        <v>12.6</v>
      </c>
      <c r="M45" s="8">
        <v>8.6</v>
      </c>
      <c r="N45" s="8">
        <v>1.7</v>
      </c>
    </row>
    <row r="46" spans="1:14" x14ac:dyDescent="0.2">
      <c r="I46" s="46">
        <v>0.04</v>
      </c>
      <c r="J46" s="42">
        <v>3.3</v>
      </c>
      <c r="K46" s="42">
        <v>1.8</v>
      </c>
      <c r="L46" s="42">
        <v>7.4</v>
      </c>
      <c r="M46" s="42">
        <v>5.3</v>
      </c>
      <c r="N46" s="42">
        <v>1.1000000000000001</v>
      </c>
    </row>
  </sheetData>
  <mergeCells count="10">
    <mergeCell ref="I31:N39"/>
    <mergeCell ref="B29:C29"/>
    <mergeCell ref="B31:C31"/>
    <mergeCell ref="B30:C30"/>
    <mergeCell ref="A32:C36"/>
    <mergeCell ref="A7:F10"/>
    <mergeCell ref="A19:F22"/>
    <mergeCell ref="B26:C26"/>
    <mergeCell ref="B27:C27"/>
    <mergeCell ref="B28:C28"/>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raw_output</vt:lpstr>
      <vt:lpstr>Overall Output. Labeled</vt:lpstr>
      <vt:lpstr>Chapter 5 Tables</vt:lpstr>
      <vt:lpstr>Chapter 6 Tables</vt:lpstr>
      <vt:lpstr>Chapter 7 Tables</vt:lpstr>
      <vt:lpstr>Chapter 8 Tables</vt:lpstr>
      <vt:lpstr>Chapter 9 Tables</vt:lpstr>
      <vt:lpstr>Chapter 11 Tables</vt:lpstr>
      <vt:lpstr>Chapter 12 Tables</vt:lpstr>
      <vt:lpstr>Appendix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DeBacker, Jason</cp:lastModifiedBy>
  <dcterms:created xsi:type="dcterms:W3CDTF">2025-07-17T14:15:22Z</dcterms:created>
  <dcterms:modified xsi:type="dcterms:W3CDTF">2025-12-18T18:28:35Z</dcterms:modified>
</cp:coreProperties>
</file>